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shboard" sheetId="2" state="visible" r:id="rId4"/>
    <sheet name="Decisions" sheetId="3" state="visible" r:id="rId5"/>
    <sheet name="Service tracker" sheetId="4" state="visible" r:id="rId6"/>
    <sheet name="Platform assurance" sheetId="5" state="visible" r:id="rId7"/>
    <sheet name="Browser &amp; desktop" sheetId="6" state="visible" r:id="rId8"/>
    <sheet name="Long tail" sheetId="7" state="visible" r:id="rId9"/>
    <sheet name="Availability" sheetId="8" state="visible" r:id="rId10"/>
    <sheet name="Exceptions" sheetId="9" state="visible" r:id="rId11"/>
    <sheet name="Hunt log" sheetId="10" state="visible" r:id="rId12"/>
    <sheet name="Facts" sheetId="11" state="visible" r:id="rId13"/>
    <sheet name="Playbooks" sheetId="12" state="visible" r:id="rId14"/>
    <sheet name="Lists" sheetId="13" state="visible" r:id="rId15"/>
  </sheets>
  <definedNames>
    <definedName function="false" hidden="true" localSheetId="7" name="_xlnm._FilterDatabase" vbProcedure="false">Availability!$A$1:$L$200</definedName>
    <definedName function="false" hidden="true" localSheetId="2" name="_xlnm._FilterDatabase" vbProcedure="false">Decisions!$A$1:$N$17</definedName>
    <definedName function="false" hidden="true" localSheetId="8" name="_xlnm._FilterDatabase" vbProcedure="false">Exceptions!$A$1:$K$150</definedName>
    <definedName function="false" hidden="true" localSheetId="6" name="_xlnm._FilterDatabase" vbProcedure="false">'Long tail'!$A$1:$P$302</definedName>
    <definedName function="false" hidden="true" localSheetId="4" name="_xlnm._FilterDatabase" vbProcedure="false">'Platform assurance'!$A$1:$Q$100</definedName>
    <definedName function="false" hidden="true" localSheetId="3" name="_xlnm._FilterDatabase" vbProcedure="false">'Service tracker'!$A$1:$X$303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Proposed owner role — map to a named person.</t>
        </r>
      </text>
    </comment>
    <comment ref="J1" authorId="0">
      <text>
        <r>
          <rPr>
            <sz val="10"/>
            <rFont val="Arial"/>
            <family val="2"/>
          </rPr>
          <t xml:space="preserve">Record the decision as taken, in one or two sentences.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Field 1: application/service or managed asset group, and covered environment.</t>
        </r>
      </text>
    </comment>
    <comment ref="F1" authorId="0">
      <text>
        <r>
          <rPr>
            <sz val="10"/>
            <rFont val="Arial"/>
            <family val="2"/>
          </rPr>
          <t xml:space="preserve">H = Tier 1 impact; M = Tier 2/3; L = Tier 4 or low consequence.</t>
        </r>
      </text>
    </comment>
    <comment ref="G1" authorId="0">
      <text>
        <r>
          <rPr>
            <sz val="10"/>
            <rFont val="Arial"/>
            <family val="2"/>
          </rPr>
          <t xml:space="preserve">A–D or Unknown. See Lists!T8 for the key.</t>
        </r>
      </text>
    </comment>
    <comment ref="H1" authorId="0">
      <text>
        <r>
          <rPr>
            <sz val="10"/>
            <rFont val="Arial"/>
            <family val="2"/>
          </rPr>
          <t xml:space="preserve">Calculated from Impact × Susceptibility (Lists!T1).</t>
        </r>
      </text>
    </comment>
    <comment ref="I1" authorId="0">
      <text>
        <r>
          <rPr>
            <sz val="10"/>
            <rFont val="Arial"/>
            <family val="2"/>
          </rPr>
          <t xml:space="preserve">Optional: the version 1 tier, for records created before 26 Oct.</t>
        </r>
      </text>
    </comment>
    <comment ref="J1" authorId="0">
      <text>
        <r>
          <rPr>
            <sz val="10"/>
            <rFont val="Arial"/>
            <family val="2"/>
          </rPr>
          <t xml:space="preserve">Trust role and business impact in a sentence.</t>
        </r>
      </text>
    </comment>
    <comment ref="L1" authorId="0">
      <text>
        <r>
          <rPr>
            <sz val="10"/>
            <rFont val="Arial"/>
            <family val="2"/>
          </rPr>
          <t xml:space="preserve">Route A record ID (e.g. PA-...) or a brief description of custom trust.</t>
        </r>
      </text>
    </comment>
    <comment ref="Q1" authorId="0">
      <text>
        <r>
          <rPr>
            <sz val="10"/>
            <rFont val="Arial"/>
            <family val="2"/>
          </rPr>
          <t xml:space="preserve">Existing change/test/config record or shared assurance link.</t>
        </r>
      </text>
    </comment>
    <comment ref="R1" authorId="0">
      <text>
        <r>
          <rPr>
            <sz val="10"/>
            <rFont val="Arial"/>
            <family val="2"/>
          </rPr>
          <t xml:space="preserve">Issue and owner, or 'None' if closed.</t>
        </r>
      </text>
    </comment>
    <comment ref="U1" authorId="0">
      <text>
        <r>
          <rPr>
            <sz val="10"/>
            <rFont val="Arial"/>
            <family val="2"/>
          </rPr>
          <t xml:space="preserve">Y if the service presents or depends on certificates under affected emSign roots (PB-13).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Required where AAA is still trusted: Windows, Java, older or vendor bundles. N/A for current Mozilla-derived bundles.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Condition 1: devices can reach vendor update services.</t>
        </r>
      </text>
    </comment>
    <comment ref="F1" authorId="0">
      <text>
        <r>
          <rPr>
            <sz val="10"/>
            <rFont val="Arial"/>
            <family val="2"/>
          </rPr>
          <t xml:space="preserve">Condition 1: no policy disables component updates, Remote Settings or Windows root/disallowed auto-update.</t>
        </r>
      </text>
    </comment>
    <comment ref="G1" authorId="0">
      <text>
        <r>
          <rPr>
            <sz val="10"/>
            <rFont val="Arial"/>
            <family val="2"/>
          </rPr>
          <t xml:space="preserve">Condition 2: supported browser/OS; Android Play services current.</t>
        </r>
      </text>
    </comment>
    <comment ref="H1" authorId="0">
      <text>
        <r>
          <rPr>
            <sz val="10"/>
            <rFont val="Arial"/>
            <family val="2"/>
          </rPr>
          <t xml:space="preserve">Condition 3: traffic not TLS-inspected, or the inspection proxy passed PB-09.</t>
        </r>
      </text>
    </comment>
    <comment ref="I1" authorId="0">
      <text>
        <r>
          <rPr>
            <sz val="10"/>
            <rFont val="Arial"/>
            <family val="2"/>
          </rPr>
          <t xml:space="preserve">Condition 4: VDI, kiosk, golden images, long-offline devices. N/A if none.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Days between the hunt window start (Lists!U18, 30 Apr 2025) and the earliest date searched.</t>
        </r>
      </text>
    </comment>
  </commentList>
</comments>
</file>

<file path=xl/sharedStrings.xml><?xml version="1.0" encoding="utf-8"?>
<sst xmlns="http://schemas.openxmlformats.org/spreadsheetml/2006/main" count="796" uniqueCount="593">
  <si>
    <t xml:space="preserve">eMudhra response workbook</t>
  </si>
  <si>
    <t xml:space="preserve">Version 0.1.0 · 26 October 2026 · Proposed — no decisions have been taken and no team data has been entered. Companion to ACTION_PLAN.md, RISK_TIERS.md, COMPLETION_TRACKER.md and playbooks/ in the eMudhraResponse repository.</t>
  </si>
  <si>
    <t xml:space="preserve">Purpose</t>
  </si>
  <si>
    <t xml:space="preserve">Capture the decisions the response needs, and track every service, platform, long-tail item, exception and hunt to closure using the pack's six mandatory fields and closure routes A/B/C.</t>
  </si>
  <si>
    <t xml:space="preserve">Where to keep it</t>
  </si>
  <si>
    <t xml:space="preserve">Keep the populated copy in the internal incident or change system. Do not commit populated inventories, hostnames or logs to a public repository (Completion tracker rule).</t>
  </si>
  <si>
    <t xml:space="preserve">Who fills what</t>
  </si>
  <si>
    <t xml:space="preserve">Incident lead: Decisions, Facts. Service and platform owners: Service tracker, Platform assurance. Desktop/mobile: Browser &amp; desktop. Owners and supplier management: Long tail. PKI: Availability. Risk owners: Exceptions. SOC: Hunt log.</t>
  </si>
  <si>
    <t xml:space="preserve">Sheets</t>
  </si>
  <si>
    <t xml:space="preserve">Dashboard</t>
  </si>
  <si>
    <t xml:space="preserve">Calculated summary: counts by priority and status, headline KPIs. Do not edit.</t>
  </si>
  <si>
    <t xml:space="preserve">Decisions</t>
  </si>
  <si>
    <t xml:space="preserve">Decision register D-01 to D-16, with options and a recommendation. Record the decision, rationale and date in the yellow columns.</t>
  </si>
  <si>
    <t xml:space="preserve">Service tracker</t>
  </si>
  <si>
    <t xml:space="preserve">One row per service or managed asset group. Columns map to the pack's six mandatory fields. Priority is calculated from Impact × Susceptibility.</t>
  </si>
  <si>
    <t xml:space="preserve">Platform assurance</t>
  </si>
  <si>
    <t xml:space="preserve">One row per standard configuration (Route A records) with emSign, AAA and No-CT test results and deployment coverage.</t>
  </si>
  <si>
    <t xml:space="preserve">Browser &amp; desktop</t>
  </si>
  <si>
    <t xml:space="preserve">One row per managed browser/OS configuration; calculates whether the browser and desktop proviso is met.</t>
  </si>
  <si>
    <t xml:space="preserve">Long tail</t>
  </si>
  <si>
    <t xml:space="preserve">Non-browser, vendor-controlled and supplier items found by egress telemetry and inventories.</t>
  </si>
  <si>
    <t xml:space="preserve">Availability</t>
  </si>
  <si>
    <t xml:space="preserve">Certificates we present, and partner endpoints we call, that chain to affected emSign roots.</t>
  </si>
  <si>
    <t xml:space="preserve">Exceptions</t>
  </si>
  <si>
    <t xml:space="preserve">Risk exceptions with compensating controls, approver and expiry.</t>
  </si>
  <si>
    <t xml:space="preserve">Hunt log</t>
  </si>
  <si>
    <t xml:space="preserve">Retrospective hunts H1–H6 from PB-14, with the retention gap back to 30 April 2025.</t>
  </si>
  <si>
    <t xml:space="preserve">Facts</t>
  </si>
  <si>
    <t xml:space="preserve">Dated incident facts with confidence and source; recheck daily while the incident is open.</t>
  </si>
  <si>
    <t xml:space="preserve">Playbooks</t>
  </si>
  <si>
    <t xml:space="preserve">Index of PB-00 to PB-16 with owner team and link.</t>
  </si>
  <si>
    <t xml:space="preserve">Lists</t>
  </si>
  <si>
    <t xml:space="preserve">Dropdown values, the priority matrix and two assumptions (proviso threshold, hunt window start).</t>
  </si>
  <si>
    <t xml:space="preserve">Legend</t>
  </si>
  <si>
    <t xml:space="preserve">White cell</t>
  </si>
  <si>
    <t xml:space="preserve">Enter data. Dropdowns appear where a column has fixed values.</t>
  </si>
  <si>
    <t xml:space="preserve">Yellow cell</t>
  </si>
  <si>
    <t xml:space="preserve">Key input or decision field — the cells management is asked to complete.</t>
  </si>
  <si>
    <t xml:space="preserve">Grey cell</t>
  </si>
  <si>
    <t xml:space="preserve">Calculated by formula. Do not overwrite.</t>
  </si>
  <si>
    <t xml:space="preserve">Grey italic row</t>
  </si>
  <si>
    <t xml:space="preserve">Worked example showing the expected format. IDs start with EX- and are excluded from the Dashboard. Overwrite or delete.</t>
  </si>
  <si>
    <t xml:space="preserve">Navy header</t>
  </si>
  <si>
    <t xml:space="preserve">Input column.</t>
  </si>
  <si>
    <t xml:space="preserve">Slate header</t>
  </si>
  <si>
    <t xml:space="preserve">Calculated column.</t>
  </si>
  <si>
    <t xml:space="preserve">Priority</t>
  </si>
  <si>
    <t xml:space="preserve">Priority = Impact (H/M/L, as defined in RISK_TIERS.md §2) × Verifier susceptibility (A–D or Unknown). See Lists!T1 for the matrix and key. Defined in RISK_TIERS.md §4; approval is decision D-01. Indicative windows (decision D-03, not approved): P1 contain 72 h / close 7 days; P2 14 days; P3 30 days; P4 normal cycle.</t>
  </si>
  <si>
    <t xml:space="preserve">eMudhra response — dashboard</t>
  </si>
  <si>
    <t xml:space="preserve">Calculated from the other sheets; rows whose ID starts with EX- (examples) are excluded. Do not edit.</t>
  </si>
  <si>
    <t xml:space="preserve">Headline indicators</t>
  </si>
  <si>
    <t xml:space="preserve">P1 records not closed</t>
  </si>
  <si>
    <t xml:space="preserve">Records with susceptibility Unknown</t>
  </si>
  <si>
    <t xml:space="preserve">Records overdue</t>
  </si>
  <si>
    <t xml:space="preserve">Records with availability flag = Y and not closed</t>
  </si>
  <si>
    <t xml:space="preserve">Total records (excluding examples)</t>
  </si>
  <si>
    <t xml:space="preserve">Browser/desktop configurations meeting the proviso</t>
  </si>
  <si>
    <t xml:space="preserve">Long-tail items with vendor status Pending or No response</t>
  </si>
  <si>
    <t xml:space="preserve">Availability items not done</t>
  </si>
  <si>
    <t xml:space="preserve">Exceptions approved and expiring within 14 days</t>
  </si>
  <si>
    <t xml:space="preserve">Decisions still open</t>
  </si>
  <si>
    <t xml:space="preserve">Hunts done (of H1–H6)</t>
  </si>
  <si>
    <t xml:space="preserve">Service tracker: records by priority and status</t>
  </si>
  <si>
    <t xml:space="preserve">Assessing</t>
  </si>
  <si>
    <t xml:space="preserve">Exposed</t>
  </si>
  <si>
    <t xml:space="preserve">Remediating</t>
  </si>
  <si>
    <t xml:space="preserve">Closed A</t>
  </si>
  <si>
    <t xml:space="preserve">Closed B</t>
  </si>
  <si>
    <t xml:space="preserve">Closed C</t>
  </si>
  <si>
    <t xml:space="preserve">Exception / blocked</t>
  </si>
  <si>
    <t xml:space="preserve">Total</t>
  </si>
  <si>
    <t xml:space="preserve">P1 (incl. to assess)</t>
  </si>
  <si>
    <t xml:space="preserve">P2 (incl. to assess)</t>
  </si>
  <si>
    <t xml:space="preserve">P3 (incl. to assess)</t>
  </si>
  <si>
    <t xml:space="preserve">P4</t>
  </si>
  <si>
    <t xml:space="preserve">Records with no priority yet (impact or susceptibility blank) are not counted above.</t>
  </si>
  <si>
    <t xml:space="preserve">ID</t>
  </si>
  <si>
    <t xml:space="preserve">Decision required</t>
  </si>
  <si>
    <t xml:space="preserve">Why now</t>
  </si>
  <si>
    <t xml:space="preserve">Options</t>
  </si>
  <si>
    <t xml:space="preserve">Recommendation</t>
  </si>
  <si>
    <t xml:space="preserve">Decision owner</t>
  </si>
  <si>
    <t xml:space="preserve">Forum / approver</t>
  </si>
  <si>
    <t xml:space="preserve">Needed by</t>
  </si>
  <si>
    <t xml:space="preserve">Status</t>
  </si>
  <si>
    <t xml:space="preserve">Decision taken</t>
  </si>
  <si>
    <t xml:space="preserve">Rationale</t>
  </si>
  <si>
    <t xml:space="preserve">Date decided</t>
  </si>
  <si>
    <t xml:space="preserve">Review date</t>
  </si>
  <si>
    <t xml:space="preserve">Linked items</t>
  </si>
  <si>
    <t xml:space="preserve">D-01</t>
  </si>
  <si>
    <t xml:space="preserve">Adopt a prioritisation model for the response</t>
  </si>
  <si>
    <t xml:space="preserve">Tier 2 currently mixes vendor-protected browsers with exposed API clients</t>
  </si>
  <si>
    <t xml:space="preserve">1) Keep the version 1 four tiers
2) Impact × verifier susceptibility matrix, keeping tier labels for impact
3) Separate lists per platform team</t>
  </si>
  <si>
    <t xml:space="preserve">Option 2, as defined in RISK_TIERS.md. Version 1 tiers map to impact</t>
  </si>
  <si>
    <t xml:space="preserve">Incident lead</t>
  </si>
  <si>
    <t xml:space="preserve">Response steering</t>
  </si>
  <si>
    <t xml:space="preserve">Open</t>
  </si>
  <si>
    <t xml:space="preserve">RISK_TIERS §2–4; Lists!T1</t>
  </si>
  <si>
    <t xml:space="preserve">D-02</t>
  </si>
  <si>
    <t xml:space="preserve">Accept vendor protection as closure for browsers and desktop OS stores</t>
  </si>
  <si>
    <t xml:space="preserve">Vendors protected browsers 17–20 Oct; enterprise conditions can defeat it</t>
  </si>
  <si>
    <t xml:space="preserve">1) Treat as fixed without evidence
2) Accept with the four-condition proviso and a coverage report
3) Require per-device testing</t>
  </si>
  <si>
    <t xml:space="preserve">Option 2, with the coverage threshold in Lists!U16 (proposed 95%)</t>
  </si>
  <si>
    <t xml:space="preserve">Head of EUC</t>
  </si>
  <si>
    <t xml:space="preserve">ACTION_PLAN §5; PB-01; Browser &amp; desktop sheet</t>
  </si>
  <si>
    <t xml:space="preserve">D-03</t>
  </si>
  <si>
    <t xml:space="preserve">Set indicative target windows per priority</t>
  </si>
  <si>
    <t xml:space="preserve">Version 1 set no target windows, so overdue work couldn't be distinguished from on-track</t>
  </si>
  <si>
    <t xml:space="preserve">1) No windows; agree per service
2) Indicative P1 72 h contain / 7 days close, P2 14 days, P3 30 days, P4 normal cycle
3) Stricter fixed SLAs</t>
  </si>
  <si>
    <t xml:space="preserve">Option 2, as indicative targets; overdue items reported, not penalised</t>
  </si>
  <si>
    <t xml:space="preserve">CISO</t>
  </si>
  <si>
    <t xml:space="preserve">Risk committee</t>
  </si>
  <si>
    <t xml:space="preserve">RISK_TIERS §4; ACTION_PLAN §10</t>
  </si>
  <si>
    <t xml:space="preserve">D-04</t>
  </si>
  <si>
    <t xml:space="preserve">Replace our certificates that chain to emSign ECC Root CA - G3</t>
  </si>
  <si>
    <t xml:space="preserve">Chrome removes the root on Tue 27 Oct; legitimate sites under it will fail</t>
  </si>
  <si>
    <t xml:space="preserve">1) Replace external certificates immediately; internal within 14 days
2) Wait for eMudhra migration support
3) Accept Chrome failures for low-traffic sites</t>
  </si>
  <si>
    <t xml:space="preserve">Option 1. PKI owns; no extension for customer- or partner-facing endpoints</t>
  </si>
  <si>
    <t xml:space="preserve">Head of PKI</t>
  </si>
  <si>
    <t xml:space="preserve">PB-13; Availability sheet</t>
  </si>
  <si>
    <t xml:space="preserve">D-05</t>
  </si>
  <si>
    <t xml:space="preserve">Accept availability impact of removing emSign roots from our managed trust stores</t>
  </si>
  <si>
    <t xml:space="preserve">Root removal (NSS, Ubuntu, certifi, webpki-roots) breaks partners still using those roots</t>
  </si>
  <si>
    <t xml:space="preserve">1) Remove the root and handle breakages by time-boxed exception
2) Delay removal until partners migrate
3) Distrust intermediates only where the platform supports it</t>
  </si>
  <si>
    <t xml:space="preserve">Option 1, plus option 3 where supported (Windows, Java blocklists). Never restore trust globally</t>
  </si>
  <si>
    <t xml:space="preserve">PB-03; PB-05; PB-13</t>
  </si>
  <si>
    <t xml:space="preserve">D-06</t>
  </si>
  <si>
    <t xml:space="preserve">Handle the Sectigo AAA cross-sign route on Windows and Java</t>
  </si>
  <si>
    <t xml:space="preserve">AAA still matters on Windows, Java and older/vendor bundles</t>
  </si>
  <si>
    <t xml:space="preserve">1) Distrust the specific intermediates and cross-certificates
2) Remove AAA Certificate Services root
3) Rely on Sectigo revocation only</t>
  </si>
  <si>
    <t xml:space="preserve">Option 1; remove AAA only where the vendor prescribes it (e.g. Oracle) and after a positive-control test</t>
  </si>
  <si>
    <t xml:space="preserve">PB-02; PB-04</t>
  </si>
  <si>
    <t xml:space="preserve">D-07</t>
  </si>
  <si>
    <t xml:space="preserve">TLS-inspection proxy policy for untrusted or revoked upstream certificates</t>
  </si>
  <si>
    <t xml:space="preserve">For inspected traffic the proxy, not the browser, decides trust</t>
  </si>
  <si>
    <t xml:space="preserve">1) Block
2) Warn and allow
3) Re-sign with an untrusted CA</t>
  </si>
  <si>
    <t xml:space="preserve">Option 1 (block), with an exception path for business-critical partners</t>
  </si>
  <si>
    <t xml:space="preserve">Network security lead</t>
  </si>
  <si>
    <t xml:space="preserve">PB-09</t>
  </si>
  <si>
    <t xml:space="preserve">D-08</t>
  </si>
  <si>
    <t xml:space="preserve">Scope of the retrospective hunt</t>
  </si>
  <si>
    <t xml:space="preserve">Keys were weak from 30 Apr 2025; any chain to them is presumptively forged</t>
  </si>
  <si>
    <t xml:space="preserve">1) No historical hunt
2) Hunts H1–H6 over available retention, gap recorded
3) Restore archived logs to cover the full window</t>
  </si>
  <si>
    <t xml:space="preserve">Option 2 now; option 3 only for P1 data sources if option 2 finds anything</t>
  </si>
  <si>
    <t xml:space="preserve">SOC lead</t>
  </si>
  <si>
    <t xml:space="preserve">PB-14; PB-12; Hunt log</t>
  </si>
  <si>
    <t xml:space="preserve">D-09</t>
  </si>
  <si>
    <t xml:space="preserve">Long-tail cut-off date and exception policy</t>
  </si>
  <si>
    <t xml:space="preserve">The tail won't close on one date; without a cut-off, items drift</t>
  </si>
  <si>
    <t xml:space="preserve">1) No cut-off
2) Cut-off date; after it, unremediated items need an exception with an approved compensating control
3) Hard deadline with shutdown</t>
  </si>
  <si>
    <t xml:space="preserve">Option 2; cut-off 25 Nov 2026</t>
  </si>
  <si>
    <t xml:space="preserve">ACTION_PLAN §6; PB-11; Exceptions</t>
  </si>
  <si>
    <t xml:space="preserve">D-10</t>
  </si>
  <si>
    <t xml:space="preserve">Supplier assurance approach</t>
  </si>
  <si>
    <t xml:space="preserve">Suppliers that process our data validate certificates on their side</t>
  </si>
  <si>
    <t xml:space="preserve">1) Rely on public statements
2) Formal request to critical suppliers only
3) Formal request to all suppliers</t>
  </si>
  <si>
    <t xml:space="preserve">Option 2 (payments, identity, SaaS with regulated data, managed security providers)</t>
  </si>
  <si>
    <t xml:space="preserve">Supplier risk lead</t>
  </si>
  <si>
    <t xml:space="preserve">PB-11 template; Long tail</t>
  </si>
  <si>
    <t xml:space="preserve">D-11</t>
  </si>
  <si>
    <t xml:space="preserve">Regulatory and notification stance</t>
  </si>
  <si>
    <t xml:space="preserve">Obligations differ by jurisdiction and regulator</t>
  </si>
  <si>
    <t xml:space="preserve">1) No position
2) No notification for exposure alone; Legal defines triggers on evidence of exploitation
3) Precautionary notification</t>
  </si>
  <si>
    <t xml:space="preserve">Option 2; Legal confirms regulators per jurisdiction</t>
  </si>
  <si>
    <t xml:space="preserve">General Counsel</t>
  </si>
  <si>
    <t xml:space="preserve">PB-14 triage step 4</t>
  </si>
  <si>
    <t xml:space="preserve">D-12</t>
  </si>
  <si>
    <t xml:space="preserve">Reporting unit and cadence</t>
  </si>
  <si>
    <t xml:space="preserve">Mixed units double-count shared platforms</t>
  </si>
  <si>
    <t xml:space="preserve">1) Count deployments
2) Count services; executive update twice weekly until P1 closed
3) Daily executive updates</t>
  </si>
  <si>
    <t xml:space="preserve">Option 2; daily only for P1 open items, blockers and outages</t>
  </si>
  <si>
    <t xml:space="preserve">D-13</t>
  </si>
  <si>
    <t xml:space="preserve">Internal test service for systems without test-site egress</t>
  </si>
  <si>
    <t xml:space="preserve">Many P1 servers can't reach the external test hosts</t>
  </si>
  <si>
    <t xml:space="preserve">1) Offline chain bundle only
2) Internal test service run by PKI
3) Temporary egress exceptions</t>
  </si>
  <si>
    <t xml:space="preserve">Option 1 by default; option 2 if more than a handful of P1 systems can't be tested</t>
  </si>
  <si>
    <t xml:space="preserve">PB-00</t>
  </si>
  <si>
    <t xml:space="preserve">D-14</t>
  </si>
  <si>
    <t xml:space="preserve">Criteria for closing the incident</t>
  </si>
  <si>
    <t xml:space="preserve">Without criteria the incident never formally closes</t>
  </si>
  <si>
    <t xml:space="preserve">1) Close when browsers are fixed
2) Close when P1/P2 are closed or excepted, proviso met, hunts complete and availability track closed
3) Close when everything is closed</t>
  </si>
  <si>
    <t xml:space="preserve">Option 2; remaining P3/P4 move to business-as-usual vulnerability management</t>
  </si>
  <si>
    <t xml:space="preserve">ACTION_PLAN §2</t>
  </si>
  <si>
    <t xml:space="preserve">D-15</t>
  </si>
  <si>
    <t xml:space="preserve">In-house mobile apps</t>
  </si>
  <si>
    <t xml:space="preserve">Bundled trust anchors aren't fixed by OS updates</t>
  </si>
  <si>
    <t xml:space="preserve">1) No action
2) Review every app handling credentials or payments; minimum-version enforcement if affected
3) Review all apps</t>
  </si>
  <si>
    <t xml:space="preserve">Option 2</t>
  </si>
  <si>
    <t xml:space="preserve">Head of mobile</t>
  </si>
  <si>
    <t xml:space="preserve">PB-10</t>
  </si>
  <si>
    <t xml:space="preserve">D-16</t>
  </si>
  <si>
    <t xml:space="preserve">Staff communications</t>
  </si>
  <si>
    <t xml:space="preserve">Avoid alarm and bypass behaviour; prepare for 27 Oct site failures</t>
  </si>
  <si>
    <t xml:space="preserve">1) All-staff notice
2) Service desk knowledge article only
3) No communication</t>
  </si>
  <si>
    <t xml:space="preserve">Option 2; all-staff notice only if exploitation is found</t>
  </si>
  <si>
    <t xml:space="preserve">Head of comms</t>
  </si>
  <si>
    <t xml:space="preserve">PB-15</t>
  </si>
  <si>
    <t xml:space="preserve">Record ID</t>
  </si>
  <si>
    <t xml:space="preserve">1. Service / asset group</t>
  </si>
  <si>
    <t xml:space="preserve">1. Accountable owner</t>
  </si>
  <si>
    <t xml:space="preserve">Team</t>
  </si>
  <si>
    <t xml:space="preserve">Environment</t>
  </si>
  <si>
    <t xml:space="preserve">2. Impact (H/M/L)</t>
  </si>
  <si>
    <t xml:space="preserve">2. Verifier susceptibility</t>
  </si>
  <si>
    <t xml:space="preserve">Version 1 tier (1–4)</t>
  </si>
  <si>
    <t xml:space="preserve">2. Rationale</t>
  </si>
  <si>
    <t xml:space="preserve">3. Trust configuration</t>
  </si>
  <si>
    <t xml:space="preserve">3. Assurance ref or custom detail</t>
  </si>
  <si>
    <t xml:space="preserve">Playbook</t>
  </si>
  <si>
    <t xml:space="preserve">4. Closure route</t>
  </si>
  <si>
    <t xml:space="preserve">4. Status</t>
  </si>
  <si>
    <t xml:space="preserve">4. Remedy or reason no change</t>
  </si>
  <si>
    <t xml:space="preserve">5. Evidence link</t>
  </si>
  <si>
    <t xml:space="preserve">6. Outstanding work</t>
  </si>
  <si>
    <t xml:space="preserve">6. Target date</t>
  </si>
  <si>
    <t xml:space="preserve">Discovered / assigned</t>
  </si>
  <si>
    <t xml:space="preserve">Availability flag</t>
  </si>
  <si>
    <t xml:space="preserve">Code-signing relevant</t>
  </si>
  <si>
    <t xml:space="preserve">Days open</t>
  </si>
  <si>
    <t xml:space="preserve">Overdue</t>
  </si>
  <si>
    <t xml:space="preserve">EX-1</t>
  </si>
  <si>
    <t xml:space="preserve">Payments API (outbound to card processor)</t>
  </si>
  <si>
    <t xml:space="preserve">J. Smith (example)</t>
  </si>
  <si>
    <t xml:space="preserve">Payments</t>
  </si>
  <si>
    <t xml:space="preserve">Production</t>
  </si>
  <si>
    <t xml:space="preserve">H</t>
  </si>
  <si>
    <t xml:space="preserve">C</t>
  </si>
  <si>
    <t xml:space="preserve">Sends card-holder data to an external API from a Java service with its own cacerts</t>
  </si>
  <si>
    <t xml:space="preserve">Custom trust</t>
  </si>
  <si>
    <t xml:space="preserve">Java app-cacerts copy</t>
  </si>
  <si>
    <t xml:space="preserve">PB-04</t>
  </si>
  <si>
    <t xml:space="preserve">B</t>
  </si>
  <si>
    <t xml:space="preserve">Removed verified emSign/AAA anchors from managed store copy; JVM restart scheduled</t>
  </si>
  <si>
    <t xml:space="preserve">CHG-0000 (example)</t>
  </si>
  <si>
    <t xml:space="preserve">Restart remaining 2 nodes — J. Smith</t>
  </si>
  <si>
    <t xml:space="preserve">N</t>
  </si>
  <si>
    <t xml:space="preserve">EX-2</t>
  </si>
  <si>
    <t xml:space="preserve">Standard Windows 11 managed desktops</t>
  </si>
  <si>
    <t xml:space="preserve">EUC lead (example)</t>
  </si>
  <si>
    <t xml:space="preserve">EUC</t>
  </si>
  <si>
    <t xml:space="preserve">M</t>
  </si>
  <si>
    <t xml:space="preserve">A</t>
  </si>
  <si>
    <t xml:space="preserve">Browsers and Windows store protected by vendor push; proviso checks pending</t>
  </si>
  <si>
    <t xml:space="preserve">Standard platform</t>
  </si>
  <si>
    <t xml:space="preserve">PA-EX-1</t>
  </si>
  <si>
    <t xml:space="preserve">PB-01</t>
  </si>
  <si>
    <t xml:space="preserve">Assessing — exposure unknown</t>
  </si>
  <si>
    <t xml:space="preserve">No change expected; confirm proviso</t>
  </si>
  <si>
    <t xml:space="preserve">Coverage report — EUC lead</t>
  </si>
  <si>
    <t xml:space="preserve">Assurance ID</t>
  </si>
  <si>
    <t xml:space="preserve">Standard configuration</t>
  </si>
  <si>
    <t xml:space="preserve">Owner team</t>
  </si>
  <si>
    <t xml:space="preserve">Verifier / stack</t>
  </si>
  <si>
    <t xml:space="preserve">Vendor remedy applied</t>
  </si>
  <si>
    <t xml:space="preserve">Remedy version / date</t>
  </si>
  <si>
    <t xml:space="preserve">emSign route</t>
  </si>
  <si>
    <t xml:space="preserve">AAA route</t>
  </si>
  <si>
    <t xml:space="preserve">No-CT test</t>
  </si>
  <si>
    <t xml:space="preserve">Positive control</t>
  </si>
  <si>
    <t xml:space="preserve">Instances covered</t>
  </si>
  <si>
    <t xml:space="preserve">Instances in scope</t>
  </si>
  <si>
    <t xml:space="preserve">Coverage %</t>
  </si>
  <si>
    <t xml:space="preserve">Known exclusions</t>
  </si>
  <si>
    <t xml:space="preserve">Evidence link</t>
  </si>
  <si>
    <t xml:space="preserve">Ubuntu 24.04 LTS server build</t>
  </si>
  <si>
    <t xml:space="preserve">Linux platform</t>
  </si>
  <si>
    <t xml:space="preserve">OpenSSL / system bundle</t>
  </si>
  <si>
    <t xml:space="preserve">ca-certificates 20260816ubuntu0.24.04.1</t>
  </si>
  <si>
    <t xml:space="preserve">20 Oct 2026</t>
  </si>
  <si>
    <t xml:space="preserve">Pass</t>
  </si>
  <si>
    <t xml:space="preserve">N/A</t>
  </si>
  <si>
    <t xml:space="preserve">18 hosts pending maintenance window</t>
  </si>
  <si>
    <t xml:space="preserve">In progress</t>
  </si>
  <si>
    <t xml:space="preserve">Managed configuration</t>
  </si>
  <si>
    <t xml:space="preserve">Vendor mechanism</t>
  </si>
  <si>
    <t xml:space="preserve">Vendor date (2026)</t>
  </si>
  <si>
    <t xml:space="preserve">Owner</t>
  </si>
  <si>
    <t xml:space="preserve">1. Egress to vendor updates OK</t>
  </si>
  <si>
    <t xml:space="preserve">1. No policy blocks updates</t>
  </si>
  <si>
    <t xml:space="preserve">2. Supported versions</t>
  </si>
  <si>
    <t xml:space="preserve">3. Not decrypted, or proxy validated</t>
  </si>
  <si>
    <t xml:space="preserve">4. Images / offline refreshed</t>
  </si>
  <si>
    <t xml:space="preserve">Representative test</t>
  </si>
  <si>
    <t xml:space="preserve">Devices in scope</t>
  </si>
  <si>
    <t xml:space="preserve">Devices confirmed</t>
  </si>
  <si>
    <t xml:space="preserve">Proviso met</t>
  </si>
  <si>
    <t xml:space="preserve">Notes / exclusions</t>
  </si>
  <si>
    <t xml:space="preserve">Windows 11 + Chrome</t>
  </si>
  <si>
    <t xml:space="preserve">CRLSet block (17 Oct); Chrome Root Store removal of emSign ECC Root CA - G3 (27 Oct)</t>
  </si>
  <si>
    <t xml:space="preserve">17 Oct / 27 Oct</t>
  </si>
  <si>
    <t xml:space="preserve">Windows 11 + Edge</t>
  </si>
  <si>
    <t xml:space="preserve">Microsoft block</t>
  </si>
  <si>
    <t xml:space="preserve">20 Oct</t>
  </si>
  <si>
    <t xml:space="preserve">Windows + Firefox ESR</t>
  </si>
  <si>
    <t xml:space="preserve">OneCRL via Remote Settings</t>
  </si>
  <si>
    <t xml:space="preserve">17 Oct</t>
  </si>
  <si>
    <t xml:space="preserve">macOS + Safari</t>
  </si>
  <si>
    <t xml:space="preserve">Apple block</t>
  </si>
  <si>
    <t xml:space="preserve">19 Oct</t>
  </si>
  <si>
    <t xml:space="preserve">macOS + Chrome</t>
  </si>
  <si>
    <t xml:space="preserve">CRLSet; Chrome Root Store change</t>
  </si>
  <si>
    <t xml:space="preserve">VDI image (name)</t>
  </si>
  <si>
    <t xml:space="preserve">Per browser above; image refresh required</t>
  </si>
  <si>
    <t xml:space="preserve">ChromeOS</t>
  </si>
  <si>
    <t xml:space="preserve">Android with Google Play services</t>
  </si>
  <si>
    <t xml:space="preserve">Equivalent block via Google Play services</t>
  </si>
  <si>
    <t xml:space="preserve">c. 19 Oct</t>
  </si>
  <si>
    <t xml:space="preserve">Android without Google Play services</t>
  </si>
  <si>
    <t xml:space="preserve">Not covered by Play services delivery — OEM update needed</t>
  </si>
  <si>
    <t xml:space="preserve">Treat as long tail (PB-11) until the OEM confirms a fix.</t>
  </si>
  <si>
    <t xml:space="preserve">iOS / iPadOS</t>
  </si>
  <si>
    <t xml:space="preserve">Proviso: covers the browser and OS trust store only. Not covered: macOS /usr/bin/curl and other CLI tools, Java, Python, Node and Go apps, Electron apps, VPN/ZTNA and management agents, developer toolchains — record those on the Long tail sheet. Vendor dates are from press reports of vendor statements; confirm on the Facts sheet. Coverage threshold is Lists!U16 (assumption pending D-02).</t>
  </si>
  <si>
    <t xml:space="preserve">System / product</t>
  </si>
  <si>
    <t xml:space="preserve">Category</t>
  </si>
  <si>
    <t xml:space="preserve">Discovered via</t>
  </si>
  <si>
    <t xml:space="preserve">Vendor / supplier</t>
  </si>
  <si>
    <t xml:space="preserve">Impact</t>
  </si>
  <si>
    <t xml:space="preserve">Susceptibility</t>
  </si>
  <si>
    <t xml:space="preserve">Vendor status</t>
  </si>
  <si>
    <t xml:space="preserve">Vendor ref / date</t>
  </si>
  <si>
    <t xml:space="preserve">Interim control</t>
  </si>
  <si>
    <t xml:space="preserve">Exception ID</t>
  </si>
  <si>
    <t xml:space="preserve">Target date</t>
  </si>
  <si>
    <t xml:space="preserve">Notes</t>
  </si>
  <si>
    <t xml:space="preserve">EX-LT-1</t>
  </si>
  <si>
    <t xml:space="preserve">Building management system cloud connector</t>
  </si>
  <si>
    <t xml:space="preserve">OT / IoT / facilities</t>
  </si>
  <si>
    <t xml:space="preserve">Egress telemetry</t>
  </si>
  <si>
    <t xml:space="preserve">Facilities IT (example)</t>
  </si>
  <si>
    <t xml:space="preserve">Vendor X (example)</t>
  </si>
  <si>
    <t xml:space="preserve">D</t>
  </si>
  <si>
    <t xml:space="preserve">Pending</t>
  </si>
  <si>
    <t xml:space="preserve">Ticket 0000, 24 Oct</t>
  </si>
  <si>
    <t xml:space="preserve">Egress restricted to vendor endpoints</t>
  </si>
  <si>
    <t xml:space="preserve">EXC-EX-1</t>
  </si>
  <si>
    <t xml:space="preserve">Vendor ETA mid-November</t>
  </si>
  <si>
    <t xml:space="preserve">Endpoint / hostname</t>
  </si>
  <si>
    <t xml:space="preserve">Direction</t>
  </si>
  <si>
    <t xml:space="preserve">Scope</t>
  </si>
  <si>
    <t xml:space="preserve">Issuer</t>
  </si>
  <si>
    <t xml:space="preserve">Root</t>
  </si>
  <si>
    <t xml:space="preserve">Affected by</t>
  </si>
  <si>
    <t xml:space="preserve">Replacement CA / action</t>
  </si>
  <si>
    <t xml:space="preserve">Planned date</t>
  </si>
  <si>
    <t xml:space="preserve">EX-AV-1</t>
  </si>
  <si>
    <t xml:space="preserve">partner-api.example.net</t>
  </si>
  <si>
    <t xml:space="preserve">We call</t>
  </si>
  <si>
    <t xml:space="preserve">External</t>
  </si>
  <si>
    <t xml:space="preserve">Integration owner (example)</t>
  </si>
  <si>
    <t xml:space="preserve">emSign ECC CA - G3 (example)</t>
  </si>
  <si>
    <t xml:space="preserve">emSign ECC Root CA - G3</t>
  </si>
  <si>
    <t xml:space="preserve">Both</t>
  </si>
  <si>
    <t xml:space="preserve">Partner to replace certificate</t>
  </si>
  <si>
    <t xml:space="preserve">Time-boxed exception EXC-EX-2 if it breaks first</t>
  </si>
  <si>
    <t xml:space="preserve">Linked record</t>
  </si>
  <si>
    <t xml:space="preserve">Reason</t>
  </si>
  <si>
    <t xml:space="preserve">Compensating control</t>
  </si>
  <si>
    <t xml:space="preserve">Residual risk</t>
  </si>
  <si>
    <t xml:space="preserve">Requested by</t>
  </si>
  <si>
    <t xml:space="preserve">Approver</t>
  </si>
  <si>
    <t xml:space="preserve">Approved date</t>
  </si>
  <si>
    <t xml:space="preserve">Expiry / review date</t>
  </si>
  <si>
    <t xml:space="preserve">Days to expiry</t>
  </si>
  <si>
    <t xml:space="preserve">Vendor fix not available until mid-November</t>
  </si>
  <si>
    <t xml:space="preserve">Egress restricted to two vendor endpoints; alert on any other destination</t>
  </si>
  <si>
    <t xml:space="preserve">CISO delegate (example)</t>
  </si>
  <si>
    <t xml:space="preserve">Approved</t>
  </si>
  <si>
    <t xml:space="preserve">Hunt</t>
  </si>
  <si>
    <t xml:space="preserve">Description</t>
  </si>
  <si>
    <t xml:space="preserve">Data source</t>
  </si>
  <si>
    <t xml:space="preserve">Retention starts</t>
  </si>
  <si>
    <t xml:space="preserve">Searched from</t>
  </si>
  <si>
    <t xml:space="preserve">Searched to</t>
  </si>
  <si>
    <t xml:space="preserve">Gap to window start (days)</t>
  </si>
  <si>
    <t xml:space="preserve">Query reference</t>
  </si>
  <si>
    <t xml:space="preserve">Hits</t>
  </si>
  <si>
    <t xml:space="preserve">Disposition</t>
  </si>
  <si>
    <t xml:space="preserve">Analyst</t>
  </si>
  <si>
    <t xml:space="preserve">Date</t>
  </si>
  <si>
    <t xml:space="preserve">H1</t>
  </si>
  <si>
    <t xml:space="preserve">Binaries signed under the two affected code-signing intermediates</t>
  </si>
  <si>
    <t xml:space="preserve">EDR file-signature telemetry</t>
  </si>
  <si>
    <t xml:space="preserve">H2</t>
  </si>
  <si>
    <t xml:space="preserve">Upstream certificates issued by the six TLS intermediates</t>
  </si>
  <si>
    <t xml:space="preserve">TLS-inspection / SWG logs</t>
  </si>
  <si>
    <t xml:space="preserve">H3</t>
  </si>
  <si>
    <t xml:space="preserve">Same issuers in passive TLS (TLS 1.2 and older only)</t>
  </si>
  <si>
    <t xml:space="preserve">NDR / Zeek x509.log</t>
  </si>
  <si>
    <t xml:space="preserve">H4</t>
  </si>
  <si>
    <t xml:space="preserve">Peer certificate details on P1 integrations</t>
  </si>
  <si>
    <t xml:space="preserve">Application TLS logs</t>
  </si>
  <si>
    <t xml:space="preserve">H5</t>
  </si>
  <si>
    <t xml:space="preserve">Certificates for our domains chaining to the intermediates</t>
  </si>
  <si>
    <t xml:space="preserve">Certificate Transparency</t>
  </si>
  <si>
    <t xml:space="preserve">H6</t>
  </si>
  <si>
    <t xml:space="preserve">Unexpected JWKS kid values or SAML signing-certificate changes</t>
  </si>
  <si>
    <t xml:space="preserve">IdP and API logs</t>
  </si>
  <si>
    <t xml:space="preserve">Date (2026)</t>
  </si>
  <si>
    <t xml:space="preserve">Event</t>
  </si>
  <si>
    <t xml:space="preserve">Confidence</t>
  </si>
  <si>
    <t xml:space="preserve">Source</t>
  </si>
  <si>
    <t xml:space="preserve">Last checked</t>
  </si>
  <si>
    <t xml:space="preserve">30 Apr 2025</t>
  </si>
  <si>
    <t xml:space="preserve">Eight intermediate keys generated with P-384 private values below 256; recoverable from public data</t>
  </si>
  <si>
    <t xml:space="preserve">Secondary</t>
  </si>
  <si>
    <t xml:space="preserve">Free Press Journal; BleepingComputer (citing Mozilla)</t>
  </si>
  <si>
    <t xml:space="preserve">Response lead</t>
  </si>
  <si>
    <t xml:space="preserve">—</t>
  </si>
  <si>
    <t xml:space="preserve">Six TLS intermediates, two code-signing (reported as trusted by Microsoft); eMudhra says none issued end-entity certificates</t>
  </si>
  <si>
    <t xml:space="preserve">CSO Online; Free Press Journal</t>
  </si>
  <si>
    <t xml:space="preserve">Report received; Chrome CRLSet and Firefox OneCRL block (no browser update or restart needed)</t>
  </si>
  <si>
    <t xml:space="preserve">Primary (Google)</t>
  </si>
  <si>
    <t xml:space="preserve">blog.google; The Hacker News</t>
  </si>
  <si>
    <t xml:space="preserve">Apple block; Sectigo revokes eight AAA cross-certificates; Android protection via Google Play services</t>
  </si>
  <si>
    <t xml:space="preserve">BleepingComputer; Technobezz; Sectigo advisory</t>
  </si>
  <si>
    <t xml:space="preserve">Go 1.27.3 and 1.26.10 published (reject chains with the eight keys; rebuild required)</t>
  </si>
  <si>
    <t xml:space="preserve">Verified (release); Secondary (content)</t>
  </si>
  <si>
    <t xml:space="preserve">proxy.golang.org toolchain index; Rescana</t>
  </si>
  <si>
    <t xml:space="preserve">Rust webpki-roots 1.0.10 removes emSign ECC Root CA - G3</t>
  </si>
  <si>
    <t xml:space="preserve">Verified</t>
  </si>
  <si>
    <t xml:space="preserve">crates.io package contents</t>
  </si>
  <si>
    <t xml:space="preserve">18–23 Oct</t>
  </si>
  <si>
    <t xml:space="preserve">Python certifi 2026.10.18+ removes emSign ECC Root CA - G3; 2026.10.23 keeps only emSign Root CA - G1</t>
  </si>
  <si>
    <t xml:space="preserve">PyPI package contents</t>
  </si>
  <si>
    <t xml:space="preserve">Free Press Journal</t>
  </si>
  <si>
    <t xml:space="preserve">Ubuntu 24.04 ca-certificates 20260816ubuntu0.24.04.1 blocklists emSign ECC Root CA - G3 (LP #2171507)</t>
  </si>
  <si>
    <t xml:space="preserve">Package changelog</t>
  </si>
  <si>
    <t xml:space="preserve">20–21 Oct</t>
  </si>
  <si>
    <t xml:space="preserve">Node.js, Bun, Debian, FreeBSD fixes pending; macOS /usr/bin/curl still accepted chain after Apple block</t>
  </si>
  <si>
    <t xml:space="preserve">Rescana; lilting.ch; CSO Online</t>
  </si>
  <si>
    <t xml:space="preserve">26 Oct</t>
  </si>
  <si>
    <t xml:space="preserve">Node.js 22.22.0 built-in roots still include emSign ECC Root CA - G3</t>
  </si>
  <si>
    <t xml:space="preserve">tls.rootCertificates check</t>
  </si>
  <si>
    <t xml:space="preserve">21 Oct</t>
  </si>
  <si>
    <t xml:space="preserve">No confirmed malicious use; one key published on GitHub; no TLS certs under the six intermediates in CT before block</t>
  </si>
  <si>
    <t xml:space="preserve">BleepingComputer; iTnews</t>
  </si>
  <si>
    <t xml:space="preserve">23 Oct</t>
  </si>
  <si>
    <t xml:space="preserve">Oracle JDK advisory updated: action needed even on listed builds</t>
  </si>
  <si>
    <t xml:space="preserve">Vendor advisory</t>
  </si>
  <si>
    <t xml:space="preserve">ops.java/emudhra</t>
  </si>
  <si>
    <t xml:space="preserve">27 Oct</t>
  </si>
  <si>
    <t xml:space="preserve">Chrome removes emSign ECC Root CA - G3 from Chrome Root Store (~30,000 certificates to migrate, eMudhra estimate)</t>
  </si>
  <si>
    <t xml:space="preserve">Primary (Google); Secondary (estimate)</t>
  </si>
  <si>
    <t xml:space="preserve">blog.google</t>
  </si>
  <si>
    <t xml:space="preserve">Code</t>
  </si>
  <si>
    <t xml:space="preserve">Title</t>
  </si>
  <si>
    <t xml:space="preserve">Typical priority</t>
  </si>
  <si>
    <t xml:space="preserve">File (relative to this workbook)</t>
  </si>
  <si>
    <t xml:space="preserve">Test and evidence</t>
  </si>
  <si>
    <t xml:space="preserve">Security/PKI (all teams read)</t>
  </si>
  <si>
    <t xml:space="preserve">playbooks/PB-00-test-and-evidence.md</t>
  </si>
  <si>
    <t xml:space="preserve">Browsers and desktop operating systems</t>
  </si>
  <si>
    <t xml:space="preserve">Desktop / EUC</t>
  </si>
  <si>
    <t xml:space="preserve">P3–P4 under proviso</t>
  </si>
  <si>
    <t xml:space="preserve">playbooks/PB-01-browsers-and-desktop-os.md</t>
  </si>
  <si>
    <t xml:space="preserve">PB-02</t>
  </si>
  <si>
    <t xml:space="preserve">Windows servers, .NET and PowerShell</t>
  </si>
  <si>
    <t xml:space="preserve">Windows platform; app owners</t>
  </si>
  <si>
    <t xml:space="preserve">P1–P3</t>
  </si>
  <si>
    <t xml:space="preserve">playbooks/PB-02-windows-and-dotnet.md</t>
  </si>
  <si>
    <t xml:space="preserve">PB-03</t>
  </si>
  <si>
    <t xml:space="preserve">Linux, Unix and macOS command-line tools</t>
  </si>
  <si>
    <t xml:space="preserve">Linux/Unix platform</t>
  </si>
  <si>
    <t xml:space="preserve">playbooks/PB-03-linux-and-unix-hosts.md</t>
  </si>
  <si>
    <t xml:space="preserve">Java applications and Java-based products</t>
  </si>
  <si>
    <t xml:space="preserve">App owners; platform</t>
  </si>
  <si>
    <t xml:space="preserve">P1–P2</t>
  </si>
  <si>
    <t xml:space="preserve">playbooks/PB-04-java.md</t>
  </si>
  <si>
    <t xml:space="preserve">PB-05</t>
  </si>
  <si>
    <t xml:space="preserve">Python applications, jobs and tools</t>
  </si>
  <si>
    <t xml:space="preserve">App owners</t>
  </si>
  <si>
    <t xml:space="preserve">playbooks/PB-05-python.md</t>
  </si>
  <si>
    <t xml:space="preserve">PB-06</t>
  </si>
  <si>
    <t xml:space="preserve">Node.js, Bun and Electron apps</t>
  </si>
  <si>
    <t xml:space="preserve">App owners; desktop; vendors</t>
  </si>
  <si>
    <t xml:space="preserve">playbooks/PB-06-nodejs-and-electron.md</t>
  </si>
  <si>
    <t xml:space="preserve">PB-07</t>
  </si>
  <si>
    <t xml:space="preserve">Go, Rust, PHP, Ruby and other runtimes</t>
  </si>
  <si>
    <t xml:space="preserve">playbooks/PB-07-go-rust-php-ruby.md</t>
  </si>
  <si>
    <t xml:space="preserve">PB-08</t>
  </si>
  <si>
    <t xml:space="preserve">Containers, Kubernetes, serverless and CI/CD</t>
  </si>
  <si>
    <t xml:space="preserve">Container platform / DevSecOps</t>
  </si>
  <si>
    <t xml:space="preserve">P1 for pipelines</t>
  </si>
  <si>
    <t xml:space="preserve">playbooks/PB-08-containers-kubernetes-and-cicd.md</t>
  </si>
  <si>
    <t xml:space="preserve">Proxies, gateways, load balancers and TLS inspection</t>
  </si>
  <si>
    <t xml:space="preserve">Network / security engineering</t>
  </si>
  <si>
    <t xml:space="preserve">P1 for inspection proxies</t>
  </si>
  <si>
    <t xml:space="preserve">playbooks/PB-09-proxies-gateways-and-tls-inspection.md</t>
  </si>
  <si>
    <t xml:space="preserve">Mobile devices and in-house mobile apps</t>
  </si>
  <si>
    <t xml:space="preserve">Mobile / MDM; app teams</t>
  </si>
  <si>
    <t xml:space="preserve">P1–P4</t>
  </si>
  <si>
    <t xml:space="preserve">playbooks/PB-10-mobile.md</t>
  </si>
  <si>
    <t xml:space="preserve">PB-11</t>
  </si>
  <si>
    <t xml:space="preserve">Vendor products, appliances, agents and suppliers</t>
  </si>
  <si>
    <t xml:space="preserve">System owners; supplier management</t>
  </si>
  <si>
    <t xml:space="preserve">By impact</t>
  </si>
  <si>
    <t xml:space="preserve">playbooks/PB-11-vendor-products-appliances-and-suppliers.md</t>
  </si>
  <si>
    <t xml:space="preserve">PB-12</t>
  </si>
  <si>
    <t xml:space="preserve">Code signing, application control and software distribution</t>
  </si>
  <si>
    <t xml:space="preserve">Endpoint security; software distribution</t>
  </si>
  <si>
    <t xml:space="preserve">P1</t>
  </si>
  <si>
    <t xml:space="preserve">playbooks/PB-12-code-signing-and-application-control.md</t>
  </si>
  <si>
    <t xml:space="preserve">PB-13</t>
  </si>
  <si>
    <t xml:space="preserve">Our certificates, partner endpoints and availability</t>
  </si>
  <si>
    <t xml:space="preserve">PKI / certificate management</t>
  </si>
  <si>
    <t xml:space="preserve">Time-critical</t>
  </si>
  <si>
    <t xml:space="preserve">playbooks/PB-13-our-certificates-and-availability.md</t>
  </si>
  <si>
    <t xml:space="preserve">PB-14</t>
  </si>
  <si>
    <t xml:space="preserve">SOC: retrospective hunt and monitoring</t>
  </si>
  <si>
    <t xml:space="preserve">SOC / incident response</t>
  </si>
  <si>
    <t xml:space="preserve">playbooks/PB-14-soc-threat-hunt.md</t>
  </si>
  <si>
    <t xml:space="preserve">Service desk knowledge article</t>
  </si>
  <si>
    <t xml:space="preserve">Service desk</t>
  </si>
  <si>
    <t xml:space="preserve">From 27 Oct</t>
  </si>
  <si>
    <t xml:space="preserve">playbooks/PB-15-service-desk.md</t>
  </si>
  <si>
    <t xml:space="preserve">PB-16</t>
  </si>
  <si>
    <t xml:space="preserve">Identity integrations and mutual TLS</t>
  </si>
  <si>
    <t xml:space="preserve">IAM / API platform</t>
  </si>
  <si>
    <t xml:space="preserve">playbooks/PB-16-identity-and-mtls.md</t>
  </si>
  <si>
    <t xml:space="preserve">Route</t>
  </si>
  <si>
    <t xml:space="preserve">Trust configuration</t>
  </si>
  <si>
    <t xml:space="preserve">Yes/No</t>
  </si>
  <si>
    <t xml:space="preserve">Yes/No/NA</t>
  </si>
  <si>
    <t xml:space="preserve">Test result</t>
  </si>
  <si>
    <t xml:space="preserve">Long-tail category</t>
  </si>
  <si>
    <t xml:space="preserve">Decision status</t>
  </si>
  <si>
    <t xml:space="preserve">Generic status</t>
  </si>
  <si>
    <t xml:space="preserve">Exception status</t>
  </si>
  <si>
    <t xml:space="preserve">Availability direction</t>
  </si>
  <si>
    <t xml:space="preserve">Availability cause</t>
  </si>
  <si>
    <t xml:space="preserve">Priority matrix (impact × susceptibility)</t>
  </si>
  <si>
    <t xml:space="preserve">Y</t>
  </si>
  <si>
    <t xml:space="preserve">Fixed</t>
  </si>
  <si>
    <t xml:space="preserve">Server outbound client</t>
  </si>
  <si>
    <t xml:space="preserve">Requested</t>
  </si>
  <si>
    <t xml:space="preserve">We present</t>
  </si>
  <si>
    <t xml:space="preserve">Chrome 27 Oct root removal</t>
  </si>
  <si>
    <t xml:space="preserve">Impact \ Susceptibility</t>
  </si>
  <si>
    <t xml:space="preserve">Unknown</t>
  </si>
  <si>
    <t xml:space="preserve">Exposed — action required</t>
  </si>
  <si>
    <t xml:space="preserve">Fail</t>
  </si>
  <si>
    <t xml:space="preserve">Runtime bundle</t>
  </si>
  <si>
    <t xml:space="preserve">CMDB</t>
  </si>
  <si>
    <t xml:space="preserve">Decided</t>
  </si>
  <si>
    <t xml:space="preserve">Internal</t>
  </si>
  <si>
    <t xml:space="preserve">Trust-store root removal</t>
  </si>
  <si>
    <t xml:space="preserve">P3</t>
  </si>
  <si>
    <t xml:space="preserve">P1 (assess)</t>
  </si>
  <si>
    <t xml:space="preserve">L</t>
  </si>
  <si>
    <t xml:space="preserve">Inconclusive</t>
  </si>
  <si>
    <t xml:space="preserve">Not affected</t>
  </si>
  <si>
    <t xml:space="preserve">Container / serverless</t>
  </si>
  <si>
    <t xml:space="preserve">Software inventory</t>
  </si>
  <si>
    <t xml:space="preserve">Deferred</t>
  </si>
  <si>
    <t xml:space="preserve">Done</t>
  </si>
  <si>
    <t xml:space="preserve">Rejected</t>
  </si>
  <si>
    <t xml:space="preserve">P2</t>
  </si>
  <si>
    <t xml:space="preserve">P2 (assess)</t>
  </si>
  <si>
    <t xml:space="preserve">Closed — A: covered by platform assurance</t>
  </si>
  <si>
    <t xml:space="preserve">Not yet chosen</t>
  </si>
  <si>
    <t xml:space="preserve">Not tested</t>
  </si>
  <si>
    <t xml:space="preserve">No response</t>
  </si>
  <si>
    <t xml:space="preserve">CI/CD / supply chain</t>
  </si>
  <si>
    <t xml:space="preserve">Container registry</t>
  </si>
  <si>
    <t xml:space="preserve">Superseded</t>
  </si>
  <si>
    <t xml:space="preserve">Blocked</t>
  </si>
  <si>
    <t xml:space="preserve">Expired</t>
  </si>
  <si>
    <t xml:space="preserve">P3 (assess)</t>
  </si>
  <si>
    <t xml:space="preserve">Closed — B: application-specific validation</t>
  </si>
  <si>
    <t xml:space="preserve">No fix planned</t>
  </si>
  <si>
    <t xml:space="preserve">Desktop non-browser software</t>
  </si>
  <si>
    <t xml:space="preserve">Supplier register</t>
  </si>
  <si>
    <t xml:space="preserve">Closed</t>
  </si>
  <si>
    <t xml:space="preserve">Closed — C: not applicable to assessed role</t>
  </si>
  <si>
    <t xml:space="preserve">Network / security appliance</t>
  </si>
  <si>
    <t xml:space="preserve">TLS inspection logs</t>
  </si>
  <si>
    <t xml:space="preserve">Exception / blocked — owner and review date required</t>
  </si>
  <si>
    <t xml:space="preserve">VPN / ZTNA / agent</t>
  </si>
  <si>
    <t xml:space="preserve">Susceptibility key</t>
  </si>
  <si>
    <t xml:space="preserve">Owner report</t>
  </si>
  <si>
    <t xml:space="preserve">Vendor-pushed block or CT enforced (browsers; OS store already updated)</t>
  </si>
  <si>
    <t xml:space="preserve">In-house mobile app</t>
  </si>
  <si>
    <t xml:space="preserve">Uses the OS store; update available but not yet confirmed</t>
  </si>
  <si>
    <t xml:space="preserve">Supplier / SaaS</t>
  </si>
  <si>
    <t xml:space="preserve">Own bundle or compiled roots (certifi, Node, Java cacerts, Go, Rust, container images)</t>
  </si>
  <si>
    <t xml:space="preserve">Inbound mTLS</t>
  </si>
  <si>
    <t xml:space="preserve">Embedded / appliance / vendor-controlled; no fix yet</t>
  </si>
  <si>
    <t xml:space="preserve">Not yet assessed — schedule assessment at the shown priority</t>
  </si>
  <si>
    <t xml:space="preserve">Proviso coverage threshold</t>
  </si>
  <si>
    <t xml:space="preserve">Assumption pending decision D-02: share of in-scope devices that must be confirmed before a configuration counts as Validated.</t>
  </si>
  <si>
    <t xml:space="preserve">Hunt window start (key generation)</t>
  </si>
  <si>
    <t xml:space="preserve">Source: Mozilla incident report as cited by press, 20–21 Oct 2026 (see Facts sheet).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</si>
</sst>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\-mm\-dd"/>
    <numFmt numFmtId="167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color rgb="FF1C729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i val="true"/>
      <sz val="10"/>
      <color rgb="FF7F7F7F"/>
      <name val="Arial"/>
      <family val="0"/>
      <charset val="1"/>
    </font>
    <font>
      <u val="single"/>
      <sz val="10"/>
      <color rgb="FF1C7293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4CC"/>
        <bgColor rgb="FFF2F2F2"/>
      </patternFill>
    </fill>
    <fill>
      <patternFill patternType="solid">
        <fgColor rgb="FFEEF1F5"/>
        <bgColor rgb="FFF2F2F2"/>
      </patternFill>
    </fill>
    <fill>
      <patternFill patternType="solid">
        <fgColor rgb="FFF2F2F2"/>
        <bgColor rgb="FFEEF1F5"/>
      </patternFill>
    </fill>
    <fill>
      <patternFill patternType="solid">
        <fgColor rgb="FF1B2A4A"/>
        <bgColor rgb="FF003366"/>
      </patternFill>
    </fill>
    <fill>
      <patternFill patternType="solid">
        <fgColor rgb="FF5B6B8C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D"/>
      </left>
      <right style="thin">
        <color rgb="FFC9D1DD"/>
      </right>
      <top style="thin">
        <color rgb="FFC9D1DD"/>
      </top>
      <bottom style="thin">
        <color rgb="FFC9D1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5B6B8C"/>
          <bgColor rgb="FF000000"/>
        </patternFill>
      </fill>
    </dxf>
    <dxf>
      <fill>
        <patternFill patternType="solid">
          <fgColor rgb="FFEEF1F5"/>
          <bgColor rgb="FF000000"/>
        </patternFill>
      </fill>
    </dxf>
    <dxf>
      <fill>
        <patternFill patternType="solid">
          <fgColor rgb="FFB3341F"/>
          <bgColor rgb="FF000000"/>
        </patternFill>
      </fill>
    </dxf>
    <dxf>
      <font>
        <name val="Arial"/>
        <charset val="1"/>
        <family val="0"/>
        <b val="1"/>
        <color rgb="FFB3341F"/>
      </font>
    </dxf>
    <dxf>
      <font>
        <name val="Arial"/>
        <charset val="1"/>
        <family val="0"/>
        <b val="1"/>
        <color rgb="FF2E7D32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7293"/>
      <rgbColor rgb="FFC0C0C0"/>
      <rgbColor rgb="FF7F7F7F"/>
      <rgbColor rgb="FF9999FF"/>
      <rgbColor rgb="FF993366"/>
      <rgbColor rgb="FFFFF4CC"/>
      <rgbColor rgb="FFEEF1F5"/>
      <rgbColor rgb="FF660066"/>
      <rgbColor rgb="FFFF8080"/>
      <rgbColor rgb="FF0066CC"/>
      <rgbColor rgb="FFC9D1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8C"/>
      <rgbColor rgb="FF969696"/>
      <rgbColor rgb="FF003366"/>
      <rgbColor rgb="FF2E7D32"/>
      <rgbColor rgb="FF003300"/>
      <rgbColor rgb="FF333300"/>
      <rgbColor rgb="FFB3341F"/>
      <rgbColor rgb="FF993366"/>
      <rgbColor rgb="FF59595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eMudhra-response-workbook.xlsx" TargetMode="External"/><Relationship Id="rId2" Type="http://schemas.openxmlformats.org/officeDocument/2006/relationships/hyperlink" Target="eMudhra-response-workbook.xlsx" TargetMode="External"/><Relationship Id="rId3" Type="http://schemas.openxmlformats.org/officeDocument/2006/relationships/hyperlink" Target="eMudhra-response-workbook.xlsx" TargetMode="External"/><Relationship Id="rId4" Type="http://schemas.openxmlformats.org/officeDocument/2006/relationships/hyperlink" Target="eMudhra-response-workbook.xlsx" TargetMode="External"/><Relationship Id="rId5" Type="http://schemas.openxmlformats.org/officeDocument/2006/relationships/hyperlink" Target="eMudhra-response-workbook.xlsx" TargetMode="External"/><Relationship Id="rId6" Type="http://schemas.openxmlformats.org/officeDocument/2006/relationships/hyperlink" Target="eMudhra-response-workbook.xlsx" TargetMode="External"/><Relationship Id="rId7" Type="http://schemas.openxmlformats.org/officeDocument/2006/relationships/hyperlink" Target="eMudhra-response-workbook.xlsx" TargetMode="External"/><Relationship Id="rId8" Type="http://schemas.openxmlformats.org/officeDocument/2006/relationships/hyperlink" Target="eMudhra-response-workbook.xlsx" TargetMode="External"/><Relationship Id="rId9" Type="http://schemas.openxmlformats.org/officeDocument/2006/relationships/hyperlink" Target="eMudhra-response-workbook.xlsx" TargetMode="External"/><Relationship Id="rId10" Type="http://schemas.openxmlformats.org/officeDocument/2006/relationships/hyperlink" Target="eMudhra-response-workbook.xlsx" TargetMode="External"/><Relationship Id="rId11" Type="http://schemas.openxmlformats.org/officeDocument/2006/relationships/hyperlink" Target="eMudhra-response-workbook.xlsx" TargetMode="External"/><Relationship Id="rId12" Type="http://schemas.openxmlformats.org/officeDocument/2006/relationships/hyperlink" Target="eMudhra-response-workbook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5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playbooks/PB-00-test-and-evidence.md" TargetMode="External"/><Relationship Id="rId2" Type="http://schemas.openxmlformats.org/officeDocument/2006/relationships/hyperlink" Target="playbooks/PB-01-browsers-and-desktop-os.md" TargetMode="External"/><Relationship Id="rId3" Type="http://schemas.openxmlformats.org/officeDocument/2006/relationships/hyperlink" Target="playbooks/PB-02-windows-and-dotnet.md" TargetMode="External"/><Relationship Id="rId4" Type="http://schemas.openxmlformats.org/officeDocument/2006/relationships/hyperlink" Target="playbooks/PB-03-linux-and-unix-hosts.md" TargetMode="External"/><Relationship Id="rId5" Type="http://schemas.openxmlformats.org/officeDocument/2006/relationships/hyperlink" Target="playbooks/PB-04-java.md" TargetMode="External"/><Relationship Id="rId6" Type="http://schemas.openxmlformats.org/officeDocument/2006/relationships/hyperlink" Target="playbooks/PB-05-python.md" TargetMode="External"/><Relationship Id="rId7" Type="http://schemas.openxmlformats.org/officeDocument/2006/relationships/hyperlink" Target="playbooks/PB-06-nodejs-and-electron.md" TargetMode="External"/><Relationship Id="rId8" Type="http://schemas.openxmlformats.org/officeDocument/2006/relationships/hyperlink" Target="playbooks/PB-07-go-rust-php-ruby.md" TargetMode="External"/><Relationship Id="rId9" Type="http://schemas.openxmlformats.org/officeDocument/2006/relationships/hyperlink" Target="playbooks/PB-08-containers-kubernetes-and-cicd.md" TargetMode="External"/><Relationship Id="rId10" Type="http://schemas.openxmlformats.org/officeDocument/2006/relationships/hyperlink" Target="playbooks/PB-09-proxies-gateways-and-tls-inspection.md" TargetMode="External"/><Relationship Id="rId11" Type="http://schemas.openxmlformats.org/officeDocument/2006/relationships/hyperlink" Target="playbooks/PB-10-mobile.md" TargetMode="External"/><Relationship Id="rId12" Type="http://schemas.openxmlformats.org/officeDocument/2006/relationships/hyperlink" Target="playbooks/PB-11-vendor-products-appliances-and-suppliers.md" TargetMode="External"/><Relationship Id="rId13" Type="http://schemas.openxmlformats.org/officeDocument/2006/relationships/hyperlink" Target="playbooks/PB-12-code-signing-and-application-control.md" TargetMode="External"/><Relationship Id="rId14" Type="http://schemas.openxmlformats.org/officeDocument/2006/relationships/hyperlink" Target="playbooks/PB-13-our-certificates-and-availability.md" TargetMode="External"/><Relationship Id="rId15" Type="http://schemas.openxmlformats.org/officeDocument/2006/relationships/hyperlink" Target="playbooks/PB-14-soc-threat-hunt.md" TargetMode="External"/><Relationship Id="rId16" Type="http://schemas.openxmlformats.org/officeDocument/2006/relationships/hyperlink" Target="playbooks/PB-15-service-desk.md" TargetMode="External"/><Relationship Id="rId17" Type="http://schemas.openxmlformats.org/officeDocument/2006/relationships/hyperlink" Target="playbooks/PB-16-identity-and-mtls.m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true"/>
  </sheetPr>
  <dimension ref="B2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  <c r="C5" s="4" t="s">
        <v>3</v>
      </c>
    </row>
    <row r="6" customFormat="false" ht="30" hidden="false" customHeight="true" outlineLevel="0" collapsed="false">
      <c r="B6" s="3" t="s">
        <v>4</v>
      </c>
      <c r="C6" s="4" t="s">
        <v>5</v>
      </c>
    </row>
    <row r="7" customFormat="false" ht="30" hidden="false" customHeight="true" outlineLevel="0" collapsed="false">
      <c r="B7" s="3" t="s">
        <v>6</v>
      </c>
      <c r="C7" s="4" t="s">
        <v>7</v>
      </c>
    </row>
    <row r="9" customFormat="false" ht="15" hidden="false" customHeight="false" outlineLevel="0" collapsed="false">
      <c r="B9" s="5" t="s">
        <v>8</v>
      </c>
    </row>
    <row r="10" customFormat="false" ht="27.75" hidden="false" customHeight="true" outlineLevel="0" collapsed="false">
      <c r="B10" s="6" t="s">
        <v>9</v>
      </c>
      <c r="C10" s="4" t="s">
        <v>10</v>
      </c>
    </row>
    <row r="11" customFormat="false" ht="27.75" hidden="false" customHeight="true" outlineLevel="0" collapsed="false">
      <c r="B11" s="6" t="s">
        <v>11</v>
      </c>
      <c r="C11" s="4" t="s">
        <v>12</v>
      </c>
    </row>
    <row r="12" customFormat="false" ht="27.75" hidden="false" customHeight="true" outlineLevel="0" collapsed="false">
      <c r="B12" s="6" t="s">
        <v>13</v>
      </c>
      <c r="C12" s="4" t="s">
        <v>14</v>
      </c>
    </row>
    <row r="13" customFormat="false" ht="27.75" hidden="false" customHeight="true" outlineLevel="0" collapsed="false">
      <c r="B13" s="6" t="s">
        <v>15</v>
      </c>
      <c r="C13" s="4" t="s">
        <v>16</v>
      </c>
    </row>
    <row r="14" customFormat="false" ht="27.75" hidden="false" customHeight="true" outlineLevel="0" collapsed="false">
      <c r="B14" s="6" t="s">
        <v>17</v>
      </c>
      <c r="C14" s="4" t="s">
        <v>18</v>
      </c>
    </row>
    <row r="15" customFormat="false" ht="27.75" hidden="false" customHeight="true" outlineLevel="0" collapsed="false">
      <c r="B15" s="6" t="s">
        <v>19</v>
      </c>
      <c r="C15" s="4" t="s">
        <v>20</v>
      </c>
    </row>
    <row r="16" customFormat="false" ht="27.75" hidden="false" customHeight="true" outlineLevel="0" collapsed="false">
      <c r="B16" s="6" t="s">
        <v>21</v>
      </c>
      <c r="C16" s="4" t="s">
        <v>22</v>
      </c>
    </row>
    <row r="17" customFormat="false" ht="27.75" hidden="false" customHeight="true" outlineLevel="0" collapsed="false">
      <c r="B17" s="6" t="s">
        <v>23</v>
      </c>
      <c r="C17" s="4" t="s">
        <v>24</v>
      </c>
    </row>
    <row r="18" customFormat="false" ht="27.75" hidden="false" customHeight="true" outlineLevel="0" collapsed="false">
      <c r="B18" s="6" t="s">
        <v>25</v>
      </c>
      <c r="C18" s="4" t="s">
        <v>26</v>
      </c>
    </row>
    <row r="19" customFormat="false" ht="27.75" hidden="false" customHeight="true" outlineLevel="0" collapsed="false">
      <c r="B19" s="6" t="s">
        <v>27</v>
      </c>
      <c r="C19" s="4" t="s">
        <v>28</v>
      </c>
    </row>
    <row r="20" customFormat="false" ht="27.75" hidden="false" customHeight="true" outlineLevel="0" collapsed="false">
      <c r="B20" s="6" t="s">
        <v>29</v>
      </c>
      <c r="C20" s="4" t="s">
        <v>30</v>
      </c>
    </row>
    <row r="21" customFormat="false" ht="27.75" hidden="false" customHeight="true" outlineLevel="0" collapsed="false">
      <c r="B21" s="6" t="s">
        <v>31</v>
      </c>
      <c r="C21" s="4" t="s">
        <v>32</v>
      </c>
    </row>
    <row r="23" customFormat="false" ht="15" hidden="false" customHeight="false" outlineLevel="0" collapsed="false">
      <c r="B23" s="5" t="s">
        <v>33</v>
      </c>
    </row>
    <row r="24" customFormat="false" ht="15" hidden="false" customHeight="false" outlineLevel="0" collapsed="false">
      <c r="B24" s="7" t="s">
        <v>34</v>
      </c>
      <c r="C24" s="8" t="s">
        <v>35</v>
      </c>
    </row>
    <row r="25" customFormat="false" ht="15" hidden="false" customHeight="false" outlineLevel="0" collapsed="false">
      <c r="B25" s="9" t="s">
        <v>36</v>
      </c>
      <c r="C25" s="8" t="s">
        <v>37</v>
      </c>
    </row>
    <row r="26" customFormat="false" ht="15" hidden="false" customHeight="false" outlineLevel="0" collapsed="false">
      <c r="B26" s="10" t="s">
        <v>38</v>
      </c>
      <c r="C26" s="8" t="s">
        <v>39</v>
      </c>
    </row>
    <row r="27" customFormat="false" ht="15" hidden="false" customHeight="false" outlineLevel="0" collapsed="false">
      <c r="B27" s="11" t="s">
        <v>40</v>
      </c>
      <c r="C27" s="8" t="s">
        <v>41</v>
      </c>
    </row>
    <row r="28" customFormat="false" ht="15" hidden="false" customHeight="false" outlineLevel="0" collapsed="false">
      <c r="B28" s="12" t="s">
        <v>42</v>
      </c>
      <c r="C28" s="8" t="s">
        <v>43</v>
      </c>
    </row>
    <row r="29" customFormat="false" ht="15" hidden="false" customHeight="false" outlineLevel="0" collapsed="false">
      <c r="B29" s="13" t="s">
        <v>44</v>
      </c>
      <c r="C29" s="8" t="s">
        <v>45</v>
      </c>
    </row>
    <row r="31" customFormat="false" ht="15" hidden="false" customHeight="false" outlineLevel="0" collapsed="false">
      <c r="B31" s="5" t="s">
        <v>46</v>
      </c>
    </row>
    <row r="32" customFormat="false" ht="43.5" hidden="false" customHeight="true" outlineLevel="0" collapsed="false">
      <c r="C32" s="4" t="s">
        <v>47</v>
      </c>
    </row>
  </sheetData>
  <hyperlinks>
    <hyperlink ref="B10" r:id="rId1" location="'Dashboard'!A1" display="Dashboard"/>
    <hyperlink ref="B11" r:id="rId2" location="'Decisions'!A1" display="Decisions"/>
    <hyperlink ref="B12" r:id="rId3" location="'Service%20tracker'!A1" display="Service tracker"/>
    <hyperlink ref="B13" r:id="rId4" location="'Platform%20assurance'!A1" display="Platform assurance"/>
    <hyperlink ref="B14" r:id="rId5" location="'Browser%20&amp;%20desktop'!A1" display="Browser &amp; desktop"/>
    <hyperlink ref="B15" r:id="rId6" location="'Long%20tail'!A1" display="Long tail"/>
    <hyperlink ref="B16" r:id="rId7" location="'Availability'!A1" display="Availability"/>
    <hyperlink ref="B17" r:id="rId8" location="'Exceptions'!A1" display="Exceptions"/>
    <hyperlink ref="B18" r:id="rId9" location="'Hunt%20log'!A1" display="Hunt log"/>
    <hyperlink ref="B19" r:id="rId10" location="'Facts'!A1" display="Facts"/>
    <hyperlink ref="B20" r:id="rId11" location="'Playbooks'!A1" display="Playbooks"/>
    <hyperlink ref="B21" r:id="rId12" location="'Lists'!A1" display="List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3341F"/>
    <pageSetUpPr fitToPage="true"/>
  </sheetPr>
  <dimension ref="B2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6"/>
    <col collapsed="false" customWidth="true" hidden="false" outlineLevel="0" max="10" min="3" style="0" width="15"/>
  </cols>
  <sheetData>
    <row r="2" customFormat="false" ht="19.7" hidden="false" customHeight="false" outlineLevel="0" collapsed="false">
      <c r="B2" s="1" t="s">
        <v>48</v>
      </c>
    </row>
    <row r="3" customFormat="false" ht="15" hidden="false" customHeight="false" outlineLevel="0" collapsed="false">
      <c r="B3" s="2" t="s">
        <v>49</v>
      </c>
    </row>
    <row r="5" customFormat="false" ht="15" hidden="false" customHeight="false" outlineLevel="0" collapsed="false">
      <c r="B5" s="5" t="s">
        <v>50</v>
      </c>
    </row>
    <row r="6" customFormat="false" ht="15" hidden="false" customHeight="false" outlineLevel="0" collapsed="false">
      <c r="B6" s="14" t="s">
        <v>51</v>
      </c>
      <c r="C6" s="15" t="n">
        <f aca="false">COUNTIFS('Service tracker'!$H$2:$H$303,"P1*",'Service tracker'!$A$2:$A$303,"&lt;&gt;EX-*")-COUNTIFS('Service tracker'!$H$2:$H$303,"P1*",'Service tracker'!$O$2:$O$303,"Closed*",'Service tracker'!$A$2:$A$303,"&lt;&gt;EX-*")</f>
        <v>0</v>
      </c>
    </row>
    <row r="7" customFormat="false" ht="15" hidden="false" customHeight="false" outlineLevel="0" collapsed="false">
      <c r="B7" s="14" t="s">
        <v>52</v>
      </c>
      <c r="C7" s="15" t="n">
        <f aca="false">COUNTIFS('Service tracker'!$G$2:$G$303,"Unknown",'Service tracker'!$A$2:$A$303,"&lt;&gt;EX-*")</f>
        <v>0</v>
      </c>
    </row>
    <row r="8" customFormat="false" ht="15" hidden="false" customHeight="false" outlineLevel="0" collapsed="false">
      <c r="B8" s="14" t="s">
        <v>53</v>
      </c>
      <c r="C8" s="15" t="n">
        <f aca="false">COUNTIFS('Service tracker'!$X$2:$X$303,"Overdue",'Service tracker'!$A$2:$A$303,"&lt;&gt;EX-*")</f>
        <v>0</v>
      </c>
    </row>
    <row r="9" customFormat="false" ht="15" hidden="false" customHeight="false" outlineLevel="0" collapsed="false">
      <c r="B9" s="14" t="s">
        <v>54</v>
      </c>
      <c r="C9" s="15" t="n">
        <f aca="false">COUNTIFS('Service tracker'!$U$2:$U$303,"Y",'Service tracker'!$A$2:$A$303,"&lt;&gt;EX-*")-COUNTIFS('Service tracker'!$U$2:$U$303,"Y",'Service tracker'!$O$2:$O$303,"Closed*",'Service tracker'!$A$2:$A$303,"&lt;&gt;EX-*")</f>
        <v>0</v>
      </c>
    </row>
    <row r="10" customFormat="false" ht="15" hidden="false" customHeight="false" outlineLevel="0" collapsed="false">
      <c r="B10" s="14" t="s">
        <v>55</v>
      </c>
      <c r="C10" s="15" t="n">
        <f aca="false">COUNTIFS('Service tracker'!$B$2:$B$303,"&lt;&gt;",'Service tracker'!$A$2:$A$303,"&lt;&gt;EX-*")</f>
        <v>0</v>
      </c>
    </row>
    <row r="11" customFormat="false" ht="15" hidden="false" customHeight="false" outlineLevel="0" collapsed="false">
      <c r="B11" s="14" t="s">
        <v>56</v>
      </c>
      <c r="C11" s="15" t="str">
        <f aca="false">COUNTIF('Browser &amp; desktop'!$N$2:$N$22,"Yes")&amp;" of "&amp;COUNTIF('Browser &amp; desktop'!$A$2:$A$22,"?*")</f>
        <v>0 of 10</v>
      </c>
    </row>
    <row r="12" customFormat="false" ht="15" hidden="false" customHeight="false" outlineLevel="0" collapsed="false">
      <c r="B12" s="14" t="s">
        <v>57</v>
      </c>
      <c r="C12" s="15" t="n">
        <f aca="false">COUNTIFS('Long tail'!$J$2:$J$302,"Pending",'Long tail'!$A$2:$A$302,"&lt;&gt;EX-*")+COUNTIFS('Long tail'!$J$2:$J$302,"No response",'Long tail'!$A$2:$A$302,"&lt;&gt;EX-*")</f>
        <v>0</v>
      </c>
    </row>
    <row r="13" customFormat="false" ht="15" hidden="false" customHeight="false" outlineLevel="0" collapsed="false">
      <c r="B13" s="14" t="s">
        <v>58</v>
      </c>
      <c r="C13" s="15" t="n">
        <f aca="false">COUNTIFS(Availability!$B$2:$B$200,"&lt;&gt;",Availability!$A$2:$A$200,"&lt;&gt;EX-*")-COUNTIFS(Availability!$K$2:$K$200,"Done",Availability!$A$2:$A$200,"&lt;&gt;EX-*")</f>
        <v>0</v>
      </c>
    </row>
    <row r="14" customFormat="false" ht="15" hidden="false" customHeight="false" outlineLevel="0" collapsed="false">
      <c r="B14" s="14" t="s">
        <v>59</v>
      </c>
      <c r="C14" s="15" t="n">
        <f aca="false">COUNTIFS(Exceptions!$J$2:$J$150,"Approved",Exceptions!$K$2:$K$150,"&lt;=14",Exceptions!$A$2:$A$150,"&lt;&gt;EXC-EX*")</f>
        <v>0</v>
      </c>
    </row>
    <row r="15" customFormat="false" ht="15" hidden="false" customHeight="false" outlineLevel="0" collapsed="false">
      <c r="B15" s="14" t="s">
        <v>60</v>
      </c>
      <c r="C15" s="15" t="n">
        <f aca="false">COUNTIF(Decisions!$I$2:$I$37,"Open")</f>
        <v>16</v>
      </c>
    </row>
    <row r="16" customFormat="false" ht="15" hidden="false" customHeight="false" outlineLevel="0" collapsed="false">
      <c r="B16" s="14" t="s">
        <v>61</v>
      </c>
      <c r="C16" s="15" t="str">
        <f aca="false">COUNTIF('Hunt log'!$M$2:$M$7,"Done")&amp;" of 6"</f>
        <v>0 of 6</v>
      </c>
    </row>
    <row r="19" customFormat="false" ht="15" hidden="false" customHeight="false" outlineLevel="0" collapsed="false">
      <c r="B19" s="5" t="s">
        <v>62</v>
      </c>
    </row>
    <row r="20" customFormat="false" ht="30" hidden="false" customHeight="true" outlineLevel="0" collapsed="false">
      <c r="B20" s="16" t="s">
        <v>46</v>
      </c>
      <c r="C20" s="16" t="s">
        <v>63</v>
      </c>
      <c r="D20" s="16" t="s">
        <v>64</v>
      </c>
      <c r="E20" s="16" t="s">
        <v>65</v>
      </c>
      <c r="F20" s="16" t="s">
        <v>66</v>
      </c>
      <c r="G20" s="16" t="s">
        <v>67</v>
      </c>
      <c r="H20" s="16" t="s">
        <v>68</v>
      </c>
      <c r="I20" s="16" t="s">
        <v>69</v>
      </c>
      <c r="J20" s="16" t="s">
        <v>70</v>
      </c>
    </row>
    <row r="21" customFormat="false" ht="15" hidden="false" customHeight="false" outlineLevel="0" collapsed="false">
      <c r="B21" s="17" t="s">
        <v>71</v>
      </c>
      <c r="C21" s="18" t="n">
        <f aca="false">COUNTIFS('Service tracker'!$H$2:$H$303,"P1*",'Service tracker'!$O$2:$O$303,Lists!$C$2,'Service tracker'!$A$2:$A$303,"&lt;&gt;EX-*")</f>
        <v>0</v>
      </c>
      <c r="D21" s="18" t="n">
        <f aca="false">COUNTIFS('Service tracker'!$H$2:$H$303,"P1*",'Service tracker'!$O$2:$O$303,Lists!$C$3,'Service tracker'!$A$2:$A$303,"&lt;&gt;EX-*")</f>
        <v>0</v>
      </c>
      <c r="E21" s="18" t="n">
        <f aca="false">COUNTIFS('Service tracker'!$H$2:$H$303,"P1*",'Service tracker'!$O$2:$O$303,Lists!$C$4,'Service tracker'!$A$2:$A$303,"&lt;&gt;EX-*")</f>
        <v>0</v>
      </c>
      <c r="F21" s="18" t="n">
        <f aca="false">COUNTIFS('Service tracker'!$H$2:$H$303,"P1*",'Service tracker'!$O$2:$O$303,Lists!$C$5,'Service tracker'!$A$2:$A$303,"&lt;&gt;EX-*")</f>
        <v>0</v>
      </c>
      <c r="G21" s="18" t="n">
        <f aca="false">COUNTIFS('Service tracker'!$H$2:$H$303,"P1*",'Service tracker'!$O$2:$O$303,Lists!$C$6,'Service tracker'!$A$2:$A$303,"&lt;&gt;EX-*")</f>
        <v>0</v>
      </c>
      <c r="H21" s="18" t="n">
        <f aca="false">COUNTIFS('Service tracker'!$H$2:$H$303,"P1*",'Service tracker'!$O$2:$O$303,Lists!$C$7,'Service tracker'!$A$2:$A$303,"&lt;&gt;EX-*")</f>
        <v>0</v>
      </c>
      <c r="I21" s="18" t="n">
        <f aca="false">COUNTIFS('Service tracker'!$H$2:$H$303,"P1*",'Service tracker'!$O$2:$O$303,Lists!$C$8,'Service tracker'!$A$2:$A$303,"&lt;&gt;EX-*")</f>
        <v>0</v>
      </c>
      <c r="J21" s="18" t="n">
        <f aca="false">SUM(C21:I21)</f>
        <v>0</v>
      </c>
    </row>
    <row r="22" customFormat="false" ht="15" hidden="false" customHeight="false" outlineLevel="0" collapsed="false">
      <c r="B22" s="17" t="s">
        <v>72</v>
      </c>
      <c r="C22" s="18" t="n">
        <f aca="false">COUNTIFS('Service tracker'!$H$2:$H$303,"P2*",'Service tracker'!$O$2:$O$303,Lists!$C$2,'Service tracker'!$A$2:$A$303,"&lt;&gt;EX-*")</f>
        <v>0</v>
      </c>
      <c r="D22" s="18" t="n">
        <f aca="false">COUNTIFS('Service tracker'!$H$2:$H$303,"P2*",'Service tracker'!$O$2:$O$303,Lists!$C$3,'Service tracker'!$A$2:$A$303,"&lt;&gt;EX-*")</f>
        <v>0</v>
      </c>
      <c r="E22" s="18" t="n">
        <f aca="false">COUNTIFS('Service tracker'!$H$2:$H$303,"P2*",'Service tracker'!$O$2:$O$303,Lists!$C$4,'Service tracker'!$A$2:$A$303,"&lt;&gt;EX-*")</f>
        <v>0</v>
      </c>
      <c r="F22" s="18" t="n">
        <f aca="false">COUNTIFS('Service tracker'!$H$2:$H$303,"P2*",'Service tracker'!$O$2:$O$303,Lists!$C$5,'Service tracker'!$A$2:$A$303,"&lt;&gt;EX-*")</f>
        <v>0</v>
      </c>
      <c r="G22" s="18" t="n">
        <f aca="false">COUNTIFS('Service tracker'!$H$2:$H$303,"P2*",'Service tracker'!$O$2:$O$303,Lists!$C$6,'Service tracker'!$A$2:$A$303,"&lt;&gt;EX-*")</f>
        <v>0</v>
      </c>
      <c r="H22" s="18" t="n">
        <f aca="false">COUNTIFS('Service tracker'!$H$2:$H$303,"P2*",'Service tracker'!$O$2:$O$303,Lists!$C$7,'Service tracker'!$A$2:$A$303,"&lt;&gt;EX-*")</f>
        <v>0</v>
      </c>
      <c r="I22" s="18" t="n">
        <f aca="false">COUNTIFS('Service tracker'!$H$2:$H$303,"P2*",'Service tracker'!$O$2:$O$303,Lists!$C$8,'Service tracker'!$A$2:$A$303,"&lt;&gt;EX-*")</f>
        <v>0</v>
      </c>
      <c r="J22" s="18" t="n">
        <f aca="false">SUM(C22:I22)</f>
        <v>0</v>
      </c>
    </row>
    <row r="23" customFormat="false" ht="15" hidden="false" customHeight="false" outlineLevel="0" collapsed="false">
      <c r="B23" s="17" t="s">
        <v>73</v>
      </c>
      <c r="C23" s="18" t="n">
        <f aca="false">COUNTIFS('Service tracker'!$H$2:$H$303,"P3*",'Service tracker'!$O$2:$O$303,Lists!$C$2,'Service tracker'!$A$2:$A$303,"&lt;&gt;EX-*")</f>
        <v>0</v>
      </c>
      <c r="D23" s="18" t="n">
        <f aca="false">COUNTIFS('Service tracker'!$H$2:$H$303,"P3*",'Service tracker'!$O$2:$O$303,Lists!$C$3,'Service tracker'!$A$2:$A$303,"&lt;&gt;EX-*")</f>
        <v>0</v>
      </c>
      <c r="E23" s="18" t="n">
        <f aca="false">COUNTIFS('Service tracker'!$H$2:$H$303,"P3*",'Service tracker'!$O$2:$O$303,Lists!$C$4,'Service tracker'!$A$2:$A$303,"&lt;&gt;EX-*")</f>
        <v>0</v>
      </c>
      <c r="F23" s="18" t="n">
        <f aca="false">COUNTIFS('Service tracker'!$H$2:$H$303,"P3*",'Service tracker'!$O$2:$O$303,Lists!$C$5,'Service tracker'!$A$2:$A$303,"&lt;&gt;EX-*")</f>
        <v>0</v>
      </c>
      <c r="G23" s="18" t="n">
        <f aca="false">COUNTIFS('Service tracker'!$H$2:$H$303,"P3*",'Service tracker'!$O$2:$O$303,Lists!$C$6,'Service tracker'!$A$2:$A$303,"&lt;&gt;EX-*")</f>
        <v>0</v>
      </c>
      <c r="H23" s="18" t="n">
        <f aca="false">COUNTIFS('Service tracker'!$H$2:$H$303,"P3*",'Service tracker'!$O$2:$O$303,Lists!$C$7,'Service tracker'!$A$2:$A$303,"&lt;&gt;EX-*")</f>
        <v>0</v>
      </c>
      <c r="I23" s="18" t="n">
        <f aca="false">COUNTIFS('Service tracker'!$H$2:$H$303,"P3*",'Service tracker'!$O$2:$O$303,Lists!$C$8,'Service tracker'!$A$2:$A$303,"&lt;&gt;EX-*")</f>
        <v>0</v>
      </c>
      <c r="J23" s="18" t="n">
        <f aca="false">SUM(C23:I23)</f>
        <v>0</v>
      </c>
    </row>
    <row r="24" customFormat="false" ht="15" hidden="false" customHeight="false" outlineLevel="0" collapsed="false">
      <c r="B24" s="17" t="s">
        <v>74</v>
      </c>
      <c r="C24" s="18" t="n">
        <f aca="false">COUNTIFS('Service tracker'!$H$2:$H$303,"P4*",'Service tracker'!$O$2:$O$303,Lists!$C$2,'Service tracker'!$A$2:$A$303,"&lt;&gt;EX-*")</f>
        <v>0</v>
      </c>
      <c r="D24" s="18" t="n">
        <f aca="false">COUNTIFS('Service tracker'!$H$2:$H$303,"P4*",'Service tracker'!$O$2:$O$303,Lists!$C$3,'Service tracker'!$A$2:$A$303,"&lt;&gt;EX-*")</f>
        <v>0</v>
      </c>
      <c r="E24" s="18" t="n">
        <f aca="false">COUNTIFS('Service tracker'!$H$2:$H$303,"P4*",'Service tracker'!$O$2:$O$303,Lists!$C$4,'Service tracker'!$A$2:$A$303,"&lt;&gt;EX-*")</f>
        <v>0</v>
      </c>
      <c r="F24" s="18" t="n">
        <f aca="false">COUNTIFS('Service tracker'!$H$2:$H$303,"P4*",'Service tracker'!$O$2:$O$303,Lists!$C$5,'Service tracker'!$A$2:$A$303,"&lt;&gt;EX-*")</f>
        <v>0</v>
      </c>
      <c r="G24" s="18" t="n">
        <f aca="false">COUNTIFS('Service tracker'!$H$2:$H$303,"P4*",'Service tracker'!$O$2:$O$303,Lists!$C$6,'Service tracker'!$A$2:$A$303,"&lt;&gt;EX-*")</f>
        <v>0</v>
      </c>
      <c r="H24" s="18" t="n">
        <f aca="false">COUNTIFS('Service tracker'!$H$2:$H$303,"P4*",'Service tracker'!$O$2:$O$303,Lists!$C$7,'Service tracker'!$A$2:$A$303,"&lt;&gt;EX-*")</f>
        <v>0</v>
      </c>
      <c r="I24" s="18" t="n">
        <f aca="false">COUNTIFS('Service tracker'!$H$2:$H$303,"P4*",'Service tracker'!$O$2:$O$303,Lists!$C$8,'Service tracker'!$A$2:$A$303,"&lt;&gt;EX-*")</f>
        <v>0</v>
      </c>
      <c r="J24" s="18" t="n">
        <f aca="false">SUM(C24:I24)</f>
        <v>0</v>
      </c>
    </row>
    <row r="25" customFormat="false" ht="15" hidden="false" customHeight="false" outlineLevel="0" collapsed="false">
      <c r="B25" s="17" t="s">
        <v>70</v>
      </c>
      <c r="C25" s="19" t="n">
        <f aca="false">SUM(C21:C24)</f>
        <v>0</v>
      </c>
      <c r="D25" s="19" t="n">
        <f aca="false">SUM(D21:D24)</f>
        <v>0</v>
      </c>
      <c r="E25" s="19" t="n">
        <f aca="false">SUM(E21:E24)</f>
        <v>0</v>
      </c>
      <c r="F25" s="19" t="n">
        <f aca="false">SUM(F21:F24)</f>
        <v>0</v>
      </c>
      <c r="G25" s="19" t="n">
        <f aca="false">SUM(G21:G24)</f>
        <v>0</v>
      </c>
      <c r="H25" s="19" t="n">
        <f aca="false">SUM(H21:H24)</f>
        <v>0</v>
      </c>
      <c r="I25" s="19" t="n">
        <f aca="false">SUM(I21:I24)</f>
        <v>0</v>
      </c>
      <c r="J25" s="19" t="n">
        <f aca="false">SUM(J21:J24)</f>
        <v>0</v>
      </c>
    </row>
    <row r="26" customFormat="false" ht="15" hidden="false" customHeight="false" outlineLevel="0" collapsed="false">
      <c r="B26" s="2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3341F"/>
    <pageSetUpPr fitToPage="true"/>
  </sheetPr>
  <dimension ref="A1:N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5" min="4" style="0" width="40"/>
    <col collapsed="false" customWidth="true" hidden="false" outlineLevel="0" max="7" min="6" style="0" width="16"/>
    <col collapsed="false" customWidth="true" hidden="false" outlineLevel="0" max="9" min="8" style="0" width="11"/>
    <col collapsed="false" customWidth="true" hidden="false" outlineLevel="0" max="11" min="10" style="0" width="32"/>
    <col collapsed="false" customWidth="true" hidden="false" outlineLevel="0" max="13" min="12" style="0" width="11"/>
    <col collapsed="false" customWidth="true" hidden="false" outlineLevel="0" max="14" min="14" style="0" width="18"/>
  </cols>
  <sheetData>
    <row r="1" customFormat="false" ht="42" hidden="false" customHeight="true" outlineLevel="0" collapsed="false">
      <c r="A1" s="16" t="s">
        <v>76</v>
      </c>
      <c r="B1" s="16" t="s">
        <v>77</v>
      </c>
      <c r="C1" s="16" t="s">
        <v>78</v>
      </c>
      <c r="D1" s="16" t="s">
        <v>79</v>
      </c>
      <c r="E1" s="16" t="s">
        <v>80</v>
      </c>
      <c r="F1" s="16" t="s">
        <v>81</v>
      </c>
      <c r="G1" s="16" t="s">
        <v>82</v>
      </c>
      <c r="H1" s="16" t="s">
        <v>83</v>
      </c>
      <c r="I1" s="16" t="s">
        <v>84</v>
      </c>
      <c r="J1" s="16" t="s">
        <v>85</v>
      </c>
      <c r="K1" s="16" t="s">
        <v>86</v>
      </c>
      <c r="L1" s="16" t="s">
        <v>87</v>
      </c>
      <c r="M1" s="16" t="s">
        <v>88</v>
      </c>
      <c r="N1" s="16" t="s">
        <v>89</v>
      </c>
    </row>
    <row r="2" customFormat="false" ht="78" hidden="false" customHeight="true" outlineLevel="0" collapsed="false">
      <c r="A2" s="20" t="s">
        <v>90</v>
      </c>
      <c r="B2" s="20" t="s">
        <v>91</v>
      </c>
      <c r="C2" s="20" t="s">
        <v>92</v>
      </c>
      <c r="D2" s="20" t="s">
        <v>93</v>
      </c>
      <c r="E2" s="20" t="s">
        <v>94</v>
      </c>
      <c r="F2" s="20" t="s">
        <v>95</v>
      </c>
      <c r="G2" s="20" t="s">
        <v>96</v>
      </c>
      <c r="H2" s="21" t="n">
        <v>46323</v>
      </c>
      <c r="I2" s="22" t="s">
        <v>97</v>
      </c>
      <c r="J2" s="22"/>
      <c r="K2" s="22"/>
      <c r="L2" s="23"/>
      <c r="M2" s="21"/>
      <c r="N2" s="20" t="s">
        <v>98</v>
      </c>
    </row>
    <row r="3" customFormat="false" ht="78" hidden="false" customHeight="true" outlineLevel="0" collapsed="false">
      <c r="A3" s="20" t="s">
        <v>99</v>
      </c>
      <c r="B3" s="20" t="s">
        <v>100</v>
      </c>
      <c r="C3" s="20" t="s">
        <v>101</v>
      </c>
      <c r="D3" s="20" t="s">
        <v>102</v>
      </c>
      <c r="E3" s="20" t="s">
        <v>103</v>
      </c>
      <c r="F3" s="20" t="s">
        <v>104</v>
      </c>
      <c r="G3" s="20" t="s">
        <v>96</v>
      </c>
      <c r="H3" s="21" t="n">
        <v>46323</v>
      </c>
      <c r="I3" s="22" t="s">
        <v>97</v>
      </c>
      <c r="J3" s="22"/>
      <c r="K3" s="22"/>
      <c r="L3" s="23"/>
      <c r="M3" s="21"/>
      <c r="N3" s="20" t="s">
        <v>105</v>
      </c>
    </row>
    <row r="4" customFormat="false" ht="78" hidden="false" customHeight="true" outlineLevel="0" collapsed="false">
      <c r="A4" s="20" t="s">
        <v>106</v>
      </c>
      <c r="B4" s="20" t="s">
        <v>107</v>
      </c>
      <c r="C4" s="20" t="s">
        <v>108</v>
      </c>
      <c r="D4" s="20" t="s">
        <v>109</v>
      </c>
      <c r="E4" s="20" t="s">
        <v>110</v>
      </c>
      <c r="F4" s="20" t="s">
        <v>111</v>
      </c>
      <c r="G4" s="20" t="s">
        <v>112</v>
      </c>
      <c r="H4" s="21" t="n">
        <v>46323</v>
      </c>
      <c r="I4" s="22" t="s">
        <v>97</v>
      </c>
      <c r="J4" s="22"/>
      <c r="K4" s="22"/>
      <c r="L4" s="23"/>
      <c r="M4" s="21"/>
      <c r="N4" s="20" t="s">
        <v>113</v>
      </c>
    </row>
    <row r="5" customFormat="false" ht="78" hidden="false" customHeight="true" outlineLevel="0" collapsed="false">
      <c r="A5" s="20" t="s">
        <v>114</v>
      </c>
      <c r="B5" s="20" t="s">
        <v>115</v>
      </c>
      <c r="C5" s="20" t="s">
        <v>116</v>
      </c>
      <c r="D5" s="20" t="s">
        <v>117</v>
      </c>
      <c r="E5" s="20" t="s">
        <v>118</v>
      </c>
      <c r="F5" s="20" t="s">
        <v>119</v>
      </c>
      <c r="G5" s="20" t="s">
        <v>95</v>
      </c>
      <c r="H5" s="21" t="n">
        <v>46322</v>
      </c>
      <c r="I5" s="22" t="s">
        <v>97</v>
      </c>
      <c r="J5" s="22"/>
      <c r="K5" s="22"/>
      <c r="L5" s="23"/>
      <c r="M5" s="21"/>
      <c r="N5" s="20" t="s">
        <v>120</v>
      </c>
    </row>
    <row r="6" customFormat="false" ht="78" hidden="false" customHeight="true" outlineLevel="0" collapsed="false">
      <c r="A6" s="20" t="s">
        <v>121</v>
      </c>
      <c r="B6" s="20" t="s">
        <v>122</v>
      </c>
      <c r="C6" s="20" t="s">
        <v>123</v>
      </c>
      <c r="D6" s="20" t="s">
        <v>124</v>
      </c>
      <c r="E6" s="20" t="s">
        <v>125</v>
      </c>
      <c r="F6" s="20" t="s">
        <v>95</v>
      </c>
      <c r="G6" s="20" t="s">
        <v>96</v>
      </c>
      <c r="H6" s="21" t="n">
        <v>46324</v>
      </c>
      <c r="I6" s="22" t="s">
        <v>97</v>
      </c>
      <c r="J6" s="22"/>
      <c r="K6" s="22"/>
      <c r="L6" s="23"/>
      <c r="M6" s="21"/>
      <c r="N6" s="20" t="s">
        <v>126</v>
      </c>
    </row>
    <row r="7" customFormat="false" ht="78" hidden="false" customHeight="true" outlineLevel="0" collapsed="false">
      <c r="A7" s="20" t="s">
        <v>127</v>
      </c>
      <c r="B7" s="20" t="s">
        <v>128</v>
      </c>
      <c r="C7" s="20" t="s">
        <v>129</v>
      </c>
      <c r="D7" s="20" t="s">
        <v>130</v>
      </c>
      <c r="E7" s="20" t="s">
        <v>131</v>
      </c>
      <c r="F7" s="20" t="s">
        <v>119</v>
      </c>
      <c r="G7" s="20" t="s">
        <v>95</v>
      </c>
      <c r="H7" s="21" t="n">
        <v>46324</v>
      </c>
      <c r="I7" s="22" t="s">
        <v>97</v>
      </c>
      <c r="J7" s="22"/>
      <c r="K7" s="22"/>
      <c r="L7" s="23"/>
      <c r="M7" s="21"/>
      <c r="N7" s="20" t="s">
        <v>132</v>
      </c>
    </row>
    <row r="8" customFormat="false" ht="78" hidden="false" customHeight="true" outlineLevel="0" collapsed="false">
      <c r="A8" s="20" t="s">
        <v>133</v>
      </c>
      <c r="B8" s="20" t="s">
        <v>134</v>
      </c>
      <c r="C8" s="20" t="s">
        <v>135</v>
      </c>
      <c r="D8" s="20" t="s">
        <v>136</v>
      </c>
      <c r="E8" s="20" t="s">
        <v>137</v>
      </c>
      <c r="F8" s="20" t="s">
        <v>138</v>
      </c>
      <c r="G8" s="20" t="s">
        <v>95</v>
      </c>
      <c r="H8" s="21" t="n">
        <v>46323</v>
      </c>
      <c r="I8" s="22" t="s">
        <v>97</v>
      </c>
      <c r="J8" s="22"/>
      <c r="K8" s="22"/>
      <c r="L8" s="23"/>
      <c r="M8" s="21"/>
      <c r="N8" s="20" t="s">
        <v>139</v>
      </c>
    </row>
    <row r="9" customFormat="false" ht="78" hidden="false" customHeight="true" outlineLevel="0" collapsed="false">
      <c r="A9" s="20" t="s">
        <v>140</v>
      </c>
      <c r="B9" s="20" t="s">
        <v>141</v>
      </c>
      <c r="C9" s="20" t="s">
        <v>142</v>
      </c>
      <c r="D9" s="20" t="s">
        <v>143</v>
      </c>
      <c r="E9" s="20" t="s">
        <v>144</v>
      </c>
      <c r="F9" s="20" t="s">
        <v>145</v>
      </c>
      <c r="G9" s="20" t="s">
        <v>95</v>
      </c>
      <c r="H9" s="21" t="n">
        <v>46325</v>
      </c>
      <c r="I9" s="22" t="s">
        <v>97</v>
      </c>
      <c r="J9" s="22"/>
      <c r="K9" s="22"/>
      <c r="L9" s="23"/>
      <c r="M9" s="21"/>
      <c r="N9" s="20" t="s">
        <v>146</v>
      </c>
    </row>
    <row r="10" customFormat="false" ht="78" hidden="false" customHeight="true" outlineLevel="0" collapsed="false">
      <c r="A10" s="20" t="s">
        <v>147</v>
      </c>
      <c r="B10" s="20" t="s">
        <v>148</v>
      </c>
      <c r="C10" s="20" t="s">
        <v>149</v>
      </c>
      <c r="D10" s="20" t="s">
        <v>150</v>
      </c>
      <c r="E10" s="20" t="s">
        <v>151</v>
      </c>
      <c r="F10" s="20" t="s">
        <v>111</v>
      </c>
      <c r="G10" s="20" t="s">
        <v>112</v>
      </c>
      <c r="H10" s="21" t="n">
        <v>46328</v>
      </c>
      <c r="I10" s="22" t="s">
        <v>97</v>
      </c>
      <c r="J10" s="22"/>
      <c r="K10" s="22"/>
      <c r="L10" s="23"/>
      <c r="M10" s="21"/>
      <c r="N10" s="20" t="s">
        <v>152</v>
      </c>
    </row>
    <row r="11" customFormat="false" ht="78" hidden="false" customHeight="true" outlineLevel="0" collapsed="false">
      <c r="A11" s="20" t="s">
        <v>153</v>
      </c>
      <c r="B11" s="20" t="s">
        <v>154</v>
      </c>
      <c r="C11" s="20" t="s">
        <v>155</v>
      </c>
      <c r="D11" s="20" t="s">
        <v>156</v>
      </c>
      <c r="E11" s="20" t="s">
        <v>157</v>
      </c>
      <c r="F11" s="20" t="s">
        <v>158</v>
      </c>
      <c r="G11" s="20" t="s">
        <v>96</v>
      </c>
      <c r="H11" s="21" t="n">
        <v>46328</v>
      </c>
      <c r="I11" s="22" t="s">
        <v>97</v>
      </c>
      <c r="J11" s="22"/>
      <c r="K11" s="22"/>
      <c r="L11" s="23"/>
      <c r="M11" s="21"/>
      <c r="N11" s="20" t="s">
        <v>159</v>
      </c>
    </row>
    <row r="12" customFormat="false" ht="78" hidden="false" customHeight="true" outlineLevel="0" collapsed="false">
      <c r="A12" s="20" t="s">
        <v>160</v>
      </c>
      <c r="B12" s="20" t="s">
        <v>161</v>
      </c>
      <c r="C12" s="20" t="s">
        <v>162</v>
      </c>
      <c r="D12" s="20" t="s">
        <v>163</v>
      </c>
      <c r="E12" s="20" t="s">
        <v>164</v>
      </c>
      <c r="F12" s="20" t="s">
        <v>165</v>
      </c>
      <c r="G12" s="20" t="s">
        <v>112</v>
      </c>
      <c r="H12" s="21" t="n">
        <v>46325</v>
      </c>
      <c r="I12" s="22" t="s">
        <v>97</v>
      </c>
      <c r="J12" s="22"/>
      <c r="K12" s="22"/>
      <c r="L12" s="23"/>
      <c r="M12" s="21"/>
      <c r="N12" s="20" t="s">
        <v>166</v>
      </c>
    </row>
    <row r="13" customFormat="false" ht="78" hidden="false" customHeight="true" outlineLevel="0" collapsed="false">
      <c r="A13" s="20" t="s">
        <v>167</v>
      </c>
      <c r="B13" s="20" t="s">
        <v>168</v>
      </c>
      <c r="C13" s="20" t="s">
        <v>169</v>
      </c>
      <c r="D13" s="20" t="s">
        <v>170</v>
      </c>
      <c r="E13" s="20" t="s">
        <v>171</v>
      </c>
      <c r="F13" s="20" t="s">
        <v>95</v>
      </c>
      <c r="G13" s="20" t="s">
        <v>96</v>
      </c>
      <c r="H13" s="21" t="n">
        <v>46323</v>
      </c>
      <c r="I13" s="22" t="s">
        <v>97</v>
      </c>
      <c r="J13" s="22"/>
      <c r="K13" s="22"/>
      <c r="L13" s="23"/>
      <c r="M13" s="21"/>
      <c r="N13" s="20" t="s">
        <v>9</v>
      </c>
    </row>
    <row r="14" customFormat="false" ht="78" hidden="false" customHeight="true" outlineLevel="0" collapsed="false">
      <c r="A14" s="20" t="s">
        <v>172</v>
      </c>
      <c r="B14" s="20" t="s">
        <v>173</v>
      </c>
      <c r="C14" s="20" t="s">
        <v>174</v>
      </c>
      <c r="D14" s="20" t="s">
        <v>175</v>
      </c>
      <c r="E14" s="20" t="s">
        <v>176</v>
      </c>
      <c r="F14" s="20" t="s">
        <v>119</v>
      </c>
      <c r="G14" s="20" t="s">
        <v>95</v>
      </c>
      <c r="H14" s="21" t="n">
        <v>46325</v>
      </c>
      <c r="I14" s="22" t="s">
        <v>97</v>
      </c>
      <c r="J14" s="22"/>
      <c r="K14" s="22"/>
      <c r="L14" s="23"/>
      <c r="M14" s="21"/>
      <c r="N14" s="20" t="s">
        <v>177</v>
      </c>
    </row>
    <row r="15" customFormat="false" ht="78" hidden="false" customHeight="true" outlineLevel="0" collapsed="false">
      <c r="A15" s="20" t="s">
        <v>178</v>
      </c>
      <c r="B15" s="20" t="s">
        <v>179</v>
      </c>
      <c r="C15" s="20" t="s">
        <v>180</v>
      </c>
      <c r="D15" s="20" t="s">
        <v>181</v>
      </c>
      <c r="E15" s="20" t="s">
        <v>182</v>
      </c>
      <c r="F15" s="20" t="s">
        <v>111</v>
      </c>
      <c r="G15" s="20" t="s">
        <v>112</v>
      </c>
      <c r="H15" s="21" t="n">
        <v>46328</v>
      </c>
      <c r="I15" s="22" t="s">
        <v>97</v>
      </c>
      <c r="J15" s="22"/>
      <c r="K15" s="22"/>
      <c r="L15" s="23"/>
      <c r="M15" s="21"/>
      <c r="N15" s="20" t="s">
        <v>183</v>
      </c>
    </row>
    <row r="16" customFormat="false" ht="78" hidden="false" customHeight="true" outlineLevel="0" collapsed="false">
      <c r="A16" s="20" t="s">
        <v>184</v>
      </c>
      <c r="B16" s="20" t="s">
        <v>185</v>
      </c>
      <c r="C16" s="20" t="s">
        <v>186</v>
      </c>
      <c r="D16" s="20" t="s">
        <v>187</v>
      </c>
      <c r="E16" s="20" t="s">
        <v>188</v>
      </c>
      <c r="F16" s="20" t="s">
        <v>189</v>
      </c>
      <c r="G16" s="20" t="s">
        <v>96</v>
      </c>
      <c r="H16" s="21" t="n">
        <v>46328</v>
      </c>
      <c r="I16" s="22" t="s">
        <v>97</v>
      </c>
      <c r="J16" s="22"/>
      <c r="K16" s="22"/>
      <c r="L16" s="23"/>
      <c r="M16" s="21"/>
      <c r="N16" s="20" t="s">
        <v>190</v>
      </c>
    </row>
    <row r="17" customFormat="false" ht="78" hidden="false" customHeight="true" outlineLevel="0" collapsed="false">
      <c r="A17" s="20" t="s">
        <v>191</v>
      </c>
      <c r="B17" s="20" t="s">
        <v>192</v>
      </c>
      <c r="C17" s="20" t="s">
        <v>193</v>
      </c>
      <c r="D17" s="20" t="s">
        <v>194</v>
      </c>
      <c r="E17" s="20" t="s">
        <v>195</v>
      </c>
      <c r="F17" s="20" t="s">
        <v>196</v>
      </c>
      <c r="G17" s="20" t="s">
        <v>95</v>
      </c>
      <c r="H17" s="21" t="n">
        <v>46322</v>
      </c>
      <c r="I17" s="22" t="s">
        <v>97</v>
      </c>
      <c r="J17" s="22"/>
      <c r="K17" s="22"/>
      <c r="L17" s="23"/>
      <c r="M17" s="21"/>
      <c r="N17" s="20" t="s">
        <v>197</v>
      </c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0"/>
      <c r="G18" s="20"/>
      <c r="H18" s="21"/>
      <c r="I18" s="20"/>
      <c r="J18" s="20"/>
      <c r="K18" s="20"/>
      <c r="L18" s="21"/>
      <c r="M18" s="21"/>
      <c r="N18" s="20"/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1"/>
      <c r="I19" s="20"/>
      <c r="J19" s="20"/>
      <c r="K19" s="20"/>
      <c r="L19" s="21"/>
      <c r="M19" s="21"/>
      <c r="N19" s="20"/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  <c r="G20" s="20"/>
      <c r="H20" s="21"/>
      <c r="I20" s="20"/>
      <c r="J20" s="20"/>
      <c r="K20" s="20"/>
      <c r="L20" s="21"/>
      <c r="M20" s="21"/>
      <c r="N20" s="20"/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  <c r="H21" s="21"/>
      <c r="I21" s="20"/>
      <c r="J21" s="20"/>
      <c r="K21" s="20"/>
      <c r="L21" s="21"/>
      <c r="M21" s="21"/>
      <c r="N21" s="20"/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0"/>
      <c r="G22" s="20"/>
      <c r="H22" s="21"/>
      <c r="I22" s="20"/>
      <c r="J22" s="20"/>
      <c r="K22" s="20"/>
      <c r="L22" s="21"/>
      <c r="M22" s="21"/>
      <c r="N22" s="20"/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  <c r="G23" s="20"/>
      <c r="H23" s="21"/>
      <c r="I23" s="20"/>
      <c r="J23" s="20"/>
      <c r="K23" s="20"/>
      <c r="L23" s="21"/>
      <c r="M23" s="21"/>
      <c r="N23" s="20"/>
    </row>
    <row r="24" customFormat="false" ht="15" hidden="false" customHeight="false" outlineLevel="0" collapsed="false">
      <c r="A24" s="20"/>
      <c r="B24" s="20"/>
      <c r="C24" s="20"/>
      <c r="D24" s="20"/>
      <c r="E24" s="20"/>
      <c r="F24" s="20"/>
      <c r="G24" s="20"/>
      <c r="H24" s="21"/>
      <c r="I24" s="20"/>
      <c r="J24" s="20"/>
      <c r="K24" s="20"/>
      <c r="L24" s="21"/>
      <c r="M24" s="21"/>
      <c r="N24" s="20"/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0"/>
      <c r="G25" s="20"/>
      <c r="H25" s="21"/>
      <c r="I25" s="20"/>
      <c r="J25" s="20"/>
      <c r="K25" s="20"/>
      <c r="L25" s="21"/>
      <c r="M25" s="21"/>
      <c r="N25" s="20"/>
    </row>
    <row r="26" customFormat="false" ht="15" hidden="false" customHeight="false" outlineLevel="0" collapsed="false">
      <c r="A26" s="20"/>
      <c r="B26" s="20"/>
      <c r="C26" s="20"/>
      <c r="D26" s="20"/>
      <c r="E26" s="20"/>
      <c r="F26" s="20"/>
      <c r="G26" s="20"/>
      <c r="H26" s="21"/>
      <c r="I26" s="20"/>
      <c r="J26" s="20"/>
      <c r="K26" s="20"/>
      <c r="L26" s="21"/>
      <c r="M26" s="21"/>
      <c r="N26" s="20"/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0"/>
      <c r="G27" s="20"/>
      <c r="H27" s="21"/>
      <c r="I27" s="20"/>
      <c r="J27" s="20"/>
      <c r="K27" s="20"/>
      <c r="L27" s="21"/>
      <c r="M27" s="21"/>
      <c r="N27" s="20"/>
    </row>
    <row r="28" customFormat="false" ht="15" hidden="false" customHeight="false" outlineLevel="0" collapsed="false">
      <c r="A28" s="20"/>
      <c r="B28" s="20"/>
      <c r="C28" s="20"/>
      <c r="D28" s="20"/>
      <c r="E28" s="20"/>
      <c r="F28" s="20"/>
      <c r="G28" s="20"/>
      <c r="H28" s="21"/>
      <c r="I28" s="20"/>
      <c r="J28" s="20"/>
      <c r="K28" s="20"/>
      <c r="L28" s="21"/>
      <c r="M28" s="21"/>
      <c r="N28" s="20"/>
    </row>
    <row r="29" customFormat="false" ht="15" hidden="false" customHeight="false" outlineLevel="0" collapsed="false">
      <c r="A29" s="20"/>
      <c r="B29" s="20"/>
      <c r="C29" s="20"/>
      <c r="D29" s="20"/>
      <c r="E29" s="20"/>
      <c r="F29" s="20"/>
      <c r="G29" s="20"/>
      <c r="H29" s="21"/>
      <c r="I29" s="20"/>
      <c r="J29" s="20"/>
      <c r="K29" s="20"/>
      <c r="L29" s="21"/>
      <c r="M29" s="21"/>
      <c r="N29" s="20"/>
    </row>
    <row r="30" customFormat="false" ht="15" hidden="false" customHeight="false" outlineLevel="0" collapsed="false">
      <c r="A30" s="20"/>
      <c r="B30" s="20"/>
      <c r="C30" s="20"/>
      <c r="D30" s="20"/>
      <c r="E30" s="20"/>
      <c r="F30" s="20"/>
      <c r="G30" s="20"/>
      <c r="H30" s="21"/>
      <c r="I30" s="20"/>
      <c r="J30" s="20"/>
      <c r="K30" s="20"/>
      <c r="L30" s="21"/>
      <c r="M30" s="21"/>
      <c r="N30" s="20"/>
    </row>
    <row r="31" customFormat="false" ht="15" hidden="false" customHeight="false" outlineLevel="0" collapsed="false">
      <c r="A31" s="20"/>
      <c r="B31" s="20"/>
      <c r="C31" s="20"/>
      <c r="D31" s="20"/>
      <c r="E31" s="20"/>
      <c r="F31" s="20"/>
      <c r="G31" s="20"/>
      <c r="H31" s="21"/>
      <c r="I31" s="20"/>
      <c r="J31" s="20"/>
      <c r="K31" s="20"/>
      <c r="L31" s="21"/>
      <c r="M31" s="21"/>
      <c r="N31" s="20"/>
    </row>
    <row r="32" customFormat="false" ht="15" hidden="false" customHeight="false" outlineLevel="0" collapsed="false">
      <c r="A32" s="20"/>
      <c r="B32" s="20"/>
      <c r="C32" s="20"/>
      <c r="D32" s="20"/>
      <c r="E32" s="20"/>
      <c r="F32" s="20"/>
      <c r="G32" s="20"/>
      <c r="H32" s="21"/>
      <c r="I32" s="20"/>
      <c r="J32" s="20"/>
      <c r="K32" s="20"/>
      <c r="L32" s="21"/>
      <c r="M32" s="21"/>
      <c r="N32" s="20"/>
    </row>
    <row r="33" customFormat="false" ht="15" hidden="false" customHeight="false" outlineLevel="0" collapsed="false">
      <c r="A33" s="20"/>
      <c r="B33" s="20"/>
      <c r="C33" s="20"/>
      <c r="D33" s="20"/>
      <c r="E33" s="20"/>
      <c r="F33" s="20"/>
      <c r="G33" s="20"/>
      <c r="H33" s="21"/>
      <c r="I33" s="20"/>
      <c r="J33" s="20"/>
      <c r="K33" s="20"/>
      <c r="L33" s="21"/>
      <c r="M33" s="21"/>
      <c r="N33" s="20"/>
    </row>
    <row r="34" customFormat="false" ht="15" hidden="false" customHeight="false" outlineLevel="0" collapsed="false">
      <c r="A34" s="20"/>
      <c r="B34" s="20"/>
      <c r="C34" s="20"/>
      <c r="D34" s="20"/>
      <c r="E34" s="20"/>
      <c r="F34" s="20"/>
      <c r="G34" s="20"/>
      <c r="H34" s="21"/>
      <c r="I34" s="20"/>
      <c r="J34" s="20"/>
      <c r="K34" s="20"/>
      <c r="L34" s="21"/>
      <c r="M34" s="21"/>
      <c r="N34" s="20"/>
    </row>
    <row r="35" customFormat="false" ht="15" hidden="false" customHeight="false" outlineLevel="0" collapsed="false">
      <c r="A35" s="20"/>
      <c r="B35" s="20"/>
      <c r="C35" s="20"/>
      <c r="D35" s="20"/>
      <c r="E35" s="20"/>
      <c r="F35" s="20"/>
      <c r="G35" s="20"/>
      <c r="H35" s="21"/>
      <c r="I35" s="20"/>
      <c r="J35" s="20"/>
      <c r="K35" s="20"/>
      <c r="L35" s="21"/>
      <c r="M35" s="21"/>
      <c r="N35" s="20"/>
    </row>
    <row r="36" customFormat="false" ht="15" hidden="false" customHeight="false" outlineLevel="0" collapsed="false">
      <c r="A36" s="20"/>
      <c r="B36" s="20"/>
      <c r="C36" s="20"/>
      <c r="D36" s="20"/>
      <c r="E36" s="20"/>
      <c r="F36" s="20"/>
      <c r="G36" s="20"/>
      <c r="H36" s="21"/>
      <c r="I36" s="20"/>
      <c r="J36" s="20"/>
      <c r="K36" s="20"/>
      <c r="L36" s="21"/>
      <c r="M36" s="21"/>
      <c r="N36" s="20"/>
    </row>
    <row r="37" customFormat="false" ht="15" hidden="false" customHeight="false" outlineLevel="0" collapsed="false">
      <c r="A37" s="20"/>
      <c r="B37" s="20"/>
      <c r="C37" s="20"/>
      <c r="D37" s="20"/>
      <c r="E37" s="20"/>
      <c r="F37" s="20"/>
      <c r="G37" s="20"/>
      <c r="H37" s="21"/>
      <c r="I37" s="20"/>
      <c r="J37" s="20"/>
      <c r="K37" s="20"/>
      <c r="L37" s="21"/>
      <c r="M37" s="21"/>
      <c r="N37" s="20"/>
    </row>
  </sheetData>
  <autoFilter ref="A1:N17"/>
  <dataValidations count="1">
    <dataValidation allowBlank="true" error="Choose a value from the list (see the Lists sheet)." errorStyle="stop" errorTitle="Not in list" operator="between" showDropDown="false" showErrorMessage="false" showInputMessage="false" sqref="I2:I37" type="list">
      <formula1>Lists!$L$2:$L$5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7293"/>
    <pageSetUpPr fitToPage="true"/>
  </sheetPr>
  <dimension ref="A1:X3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8"/>
    <col collapsed="false" customWidth="true" hidden="false" outlineLevel="0" max="10" min="10" style="0" width="30"/>
    <col collapsed="false" customWidth="true" hidden="false" outlineLevel="0" max="11" min="11" style="0" width="14"/>
    <col collapsed="false" customWidth="true" hidden="false" outlineLevel="0" max="12" min="12" style="0" width="24"/>
    <col collapsed="false" customWidth="true" hidden="false" outlineLevel="0" max="14" min="13" style="0" width="9"/>
    <col collapsed="false" customWidth="true" hidden="false" outlineLevel="0" max="16" min="15" style="0" width="30"/>
    <col collapsed="false" customWidth="true" hidden="false" outlineLevel="0" max="17" min="17" style="0" width="24"/>
    <col collapsed="false" customWidth="true" hidden="false" outlineLevel="0" max="18" min="18" style="0" width="26"/>
    <col collapsed="false" customWidth="true" hidden="false" outlineLevel="0" max="20" min="19" style="0" width="11"/>
    <col collapsed="false" customWidth="true" hidden="false" outlineLevel="0" max="22" min="21" style="0" width="9"/>
    <col collapsed="false" customWidth="true" hidden="false" outlineLevel="0" max="23" min="23" style="0" width="8"/>
    <col collapsed="false" customWidth="true" hidden="false" outlineLevel="0" max="24" min="24" style="0" width="9"/>
  </cols>
  <sheetData>
    <row r="1" customFormat="false" ht="42" hidden="false" customHeight="true" outlineLevel="0" collapsed="false">
      <c r="A1" s="16" t="s">
        <v>198</v>
      </c>
      <c r="B1" s="16" t="s">
        <v>199</v>
      </c>
      <c r="C1" s="16" t="s">
        <v>200</v>
      </c>
      <c r="D1" s="16" t="s">
        <v>201</v>
      </c>
      <c r="E1" s="16" t="s">
        <v>202</v>
      </c>
      <c r="F1" s="16" t="s">
        <v>203</v>
      </c>
      <c r="G1" s="16" t="s">
        <v>204</v>
      </c>
      <c r="H1" s="24" t="s">
        <v>46</v>
      </c>
      <c r="I1" s="16" t="s">
        <v>205</v>
      </c>
      <c r="J1" s="16" t="s">
        <v>206</v>
      </c>
      <c r="K1" s="16" t="s">
        <v>207</v>
      </c>
      <c r="L1" s="16" t="s">
        <v>208</v>
      </c>
      <c r="M1" s="16" t="s">
        <v>209</v>
      </c>
      <c r="N1" s="16" t="s">
        <v>210</v>
      </c>
      <c r="O1" s="16" t="s">
        <v>211</v>
      </c>
      <c r="P1" s="16" t="s">
        <v>212</v>
      </c>
      <c r="Q1" s="16" t="s">
        <v>213</v>
      </c>
      <c r="R1" s="16" t="s">
        <v>214</v>
      </c>
      <c r="S1" s="16" t="s">
        <v>215</v>
      </c>
      <c r="T1" s="16" t="s">
        <v>216</v>
      </c>
      <c r="U1" s="16" t="s">
        <v>217</v>
      </c>
      <c r="V1" s="16" t="s">
        <v>218</v>
      </c>
      <c r="W1" s="24" t="s">
        <v>219</v>
      </c>
      <c r="X1" s="24" t="s">
        <v>220</v>
      </c>
    </row>
    <row r="2" customFormat="false" ht="35.05" hidden="false" customHeight="false" outlineLevel="0" collapsed="false">
      <c r="A2" s="25" t="s">
        <v>221</v>
      </c>
      <c r="B2" s="25" t="s">
        <v>222</v>
      </c>
      <c r="C2" s="25" t="s">
        <v>223</v>
      </c>
      <c r="D2" s="25" t="s">
        <v>224</v>
      </c>
      <c r="E2" s="25" t="s">
        <v>225</v>
      </c>
      <c r="F2" s="25" t="s">
        <v>226</v>
      </c>
      <c r="G2" s="25" t="s">
        <v>227</v>
      </c>
      <c r="H2" s="25" t="str">
        <f aca="false">IF(OR(F2="",G2=""),"",IFERROR(INDEX(Lists!$U$3:$Y$5,MATCH(F2,Lists!$T$3:$T$5,0),MATCH(G2,Lists!$U$2:$Y$2,0)),"Check inputs"))</f>
        <v>P1</v>
      </c>
      <c r="I2" s="25" t="n">
        <v>1</v>
      </c>
      <c r="J2" s="25" t="s">
        <v>228</v>
      </c>
      <c r="K2" s="25" t="s">
        <v>229</v>
      </c>
      <c r="L2" s="25" t="s">
        <v>230</v>
      </c>
      <c r="M2" s="25" t="s">
        <v>231</v>
      </c>
      <c r="N2" s="25" t="s">
        <v>232</v>
      </c>
      <c r="O2" s="25" t="s">
        <v>65</v>
      </c>
      <c r="P2" s="25" t="s">
        <v>233</v>
      </c>
      <c r="Q2" s="25" t="s">
        <v>234</v>
      </c>
      <c r="R2" s="25" t="s">
        <v>235</v>
      </c>
      <c r="S2" s="26" t="n">
        <v>46325</v>
      </c>
      <c r="T2" s="26" t="n">
        <v>46321</v>
      </c>
      <c r="U2" s="25" t="s">
        <v>236</v>
      </c>
      <c r="V2" s="25" t="s">
        <v>236</v>
      </c>
      <c r="W2" s="25" t="n">
        <f aca="true">IF(OR(T2="",LEFT(O2,6)="Closed"),"",TODAY()-T2)</f>
        <v>0</v>
      </c>
      <c r="X2" s="25" t="str">
        <f aca="true">IF(OR(S2="",LEFT(O2,6)="Closed"),"",IF(TODAY()&gt;S2,"Overdue",""))</f>
        <v/>
      </c>
    </row>
    <row r="3" customFormat="false" ht="35.05" hidden="false" customHeight="false" outlineLevel="0" collapsed="false">
      <c r="A3" s="25" t="s">
        <v>237</v>
      </c>
      <c r="B3" s="25" t="s">
        <v>238</v>
      </c>
      <c r="C3" s="25" t="s">
        <v>239</v>
      </c>
      <c r="D3" s="25" t="s">
        <v>240</v>
      </c>
      <c r="E3" s="25" t="s">
        <v>225</v>
      </c>
      <c r="F3" s="25" t="s">
        <v>241</v>
      </c>
      <c r="G3" s="25" t="s">
        <v>242</v>
      </c>
      <c r="H3" s="25" t="str">
        <f aca="false">IF(OR(F3="",G3=""),"",IFERROR(INDEX(Lists!$U$3:$Y$5,MATCH(F3,Lists!$T$3:$T$5,0),MATCH(G3,Lists!$U$2:$Y$2,0)),"Check inputs"))</f>
        <v>P4</v>
      </c>
      <c r="I3" s="25" t="n">
        <v>2</v>
      </c>
      <c r="J3" s="25" t="s">
        <v>243</v>
      </c>
      <c r="K3" s="25" t="s">
        <v>244</v>
      </c>
      <c r="L3" s="25" t="s">
        <v>245</v>
      </c>
      <c r="M3" s="25" t="s">
        <v>246</v>
      </c>
      <c r="N3" s="25" t="s">
        <v>242</v>
      </c>
      <c r="O3" s="25" t="s">
        <v>247</v>
      </c>
      <c r="P3" s="25" t="s">
        <v>248</v>
      </c>
      <c r="Q3" s="25"/>
      <c r="R3" s="25" t="s">
        <v>249</v>
      </c>
      <c r="S3" s="26" t="n">
        <v>46325</v>
      </c>
      <c r="T3" s="26" t="n">
        <v>46321</v>
      </c>
      <c r="U3" s="25" t="s">
        <v>236</v>
      </c>
      <c r="V3" s="25" t="s">
        <v>236</v>
      </c>
      <c r="W3" s="25" t="n">
        <f aca="true">IF(OR(T3="",LEFT(O3,6)="Closed"),"",TODAY()-T3)</f>
        <v>0</v>
      </c>
      <c r="X3" s="25" t="str">
        <f aca="true">IF(OR(S3="",LEFT(O3,6)="Closed"),"",IF(TODAY()&gt;S3,"Overdue",""))</f>
        <v/>
      </c>
    </row>
    <row r="4" customFormat="false" ht="15" hidden="false" customHeight="false" outlineLevel="0" collapsed="false">
      <c r="A4" s="20"/>
      <c r="B4" s="20"/>
      <c r="C4" s="20"/>
      <c r="D4" s="20"/>
      <c r="E4" s="20"/>
      <c r="F4" s="20"/>
      <c r="G4" s="20"/>
      <c r="H4" s="27" t="str">
        <f aca="false">IF(OR(F4="",G4=""),"",IFERROR(INDEX(Lists!$U$3:$Y$5,MATCH(F4,Lists!$T$3:$T$5,0),MATCH(G4,Lists!$U$2:$Y$2,0)),"Check inputs"))</f>
        <v/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1"/>
      <c r="T4" s="21"/>
      <c r="U4" s="20"/>
      <c r="V4" s="20"/>
      <c r="W4" s="27" t="str">
        <f aca="true">IF(OR(T4="",LEFT(O4,6)="Closed"),"",TODAY()-T4)</f>
        <v/>
      </c>
      <c r="X4" s="27" t="str">
        <f aca="true">IF(OR(S4="",LEFT(O4,6)="Closed"),"",IF(TODAY()&gt;S4,"Overdue",""))</f>
        <v/>
      </c>
    </row>
    <row r="5" customFormat="false" ht="15" hidden="false" customHeight="false" outlineLevel="0" collapsed="false">
      <c r="A5" s="20"/>
      <c r="B5" s="20"/>
      <c r="C5" s="20"/>
      <c r="D5" s="20"/>
      <c r="E5" s="20"/>
      <c r="F5" s="20"/>
      <c r="G5" s="20"/>
      <c r="H5" s="27" t="str">
        <f aca="false">IF(OR(F5="",G5=""),"",IFERROR(INDEX(Lists!$U$3:$Y$5,MATCH(F5,Lists!$T$3:$T$5,0),MATCH(G5,Lists!$U$2:$Y$2,0)),"Check inputs"))</f>
        <v/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1"/>
      <c r="T5" s="21"/>
      <c r="U5" s="20"/>
      <c r="V5" s="20"/>
      <c r="W5" s="27" t="str">
        <f aca="true">IF(OR(T5="",LEFT(O5,6)="Closed"),"",TODAY()-T5)</f>
        <v/>
      </c>
      <c r="X5" s="27" t="str">
        <f aca="true">IF(OR(S5="",LEFT(O5,6)="Closed"),"",IF(TODAY()&gt;S5,"Overdue",""))</f>
        <v/>
      </c>
    </row>
    <row r="6" customFormat="false" ht="15" hidden="false" customHeight="false" outlineLevel="0" collapsed="false">
      <c r="A6" s="20"/>
      <c r="B6" s="20"/>
      <c r="C6" s="20"/>
      <c r="D6" s="20"/>
      <c r="E6" s="20"/>
      <c r="F6" s="20"/>
      <c r="G6" s="20"/>
      <c r="H6" s="27" t="str">
        <f aca="false">IF(OR(F6="",G6=""),"",IFERROR(INDEX(Lists!$U$3:$Y$5,MATCH(F6,Lists!$T$3:$T$5,0),MATCH(G6,Lists!$U$2:$Y$2,0)),"Check inputs"))</f>
        <v/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1"/>
      <c r="T6" s="21"/>
      <c r="U6" s="20"/>
      <c r="V6" s="20"/>
      <c r="W6" s="27" t="str">
        <f aca="true">IF(OR(T6="",LEFT(O6,6)="Closed"),"",TODAY()-T6)</f>
        <v/>
      </c>
      <c r="X6" s="27" t="str">
        <f aca="true">IF(OR(S6="",LEFT(O6,6)="Closed"),"",IF(TODAY()&gt;S6,"Overdue",""))</f>
        <v/>
      </c>
    </row>
    <row r="7" customFormat="false" ht="15" hidden="false" customHeight="false" outlineLevel="0" collapsed="false">
      <c r="A7" s="20"/>
      <c r="B7" s="20"/>
      <c r="C7" s="20"/>
      <c r="D7" s="20"/>
      <c r="E7" s="20"/>
      <c r="F7" s="20"/>
      <c r="G7" s="20"/>
      <c r="H7" s="27" t="str">
        <f aca="false">IF(OR(F7="",G7=""),"",IFERROR(INDEX(Lists!$U$3:$Y$5,MATCH(F7,Lists!$T$3:$T$5,0),MATCH(G7,Lists!$U$2:$Y$2,0)),"Check inputs"))</f>
        <v/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1"/>
      <c r="T7" s="21"/>
      <c r="U7" s="20"/>
      <c r="V7" s="20"/>
      <c r="W7" s="27" t="str">
        <f aca="true">IF(OR(T7="",LEFT(O7,6)="Closed"),"",TODAY()-T7)</f>
        <v/>
      </c>
      <c r="X7" s="27" t="str">
        <f aca="true">IF(OR(S7="",LEFT(O7,6)="Closed"),"",IF(TODAY()&gt;S7,"Overdue",""))</f>
        <v/>
      </c>
    </row>
    <row r="8" customFormat="false" ht="15" hidden="false" customHeight="false" outlineLevel="0" collapsed="false">
      <c r="A8" s="20"/>
      <c r="B8" s="20"/>
      <c r="C8" s="20"/>
      <c r="D8" s="20"/>
      <c r="E8" s="20"/>
      <c r="F8" s="20"/>
      <c r="G8" s="20"/>
      <c r="H8" s="27" t="str">
        <f aca="false">IF(OR(F8="",G8=""),"",IFERROR(INDEX(Lists!$U$3:$Y$5,MATCH(F8,Lists!$T$3:$T$5,0),MATCH(G8,Lists!$U$2:$Y$2,0)),"Check inputs"))</f>
        <v/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1"/>
      <c r="T8" s="21"/>
      <c r="U8" s="20"/>
      <c r="V8" s="20"/>
      <c r="W8" s="27" t="str">
        <f aca="true">IF(OR(T8="",LEFT(O8,6)="Closed"),"",TODAY()-T8)</f>
        <v/>
      </c>
      <c r="X8" s="27" t="str">
        <f aca="true">IF(OR(S8="",LEFT(O8,6)="Closed"),"",IF(TODAY()&gt;S8,"Overdue",""))</f>
        <v/>
      </c>
    </row>
    <row r="9" customFormat="false" ht="15" hidden="false" customHeight="false" outlineLevel="0" collapsed="false">
      <c r="A9" s="20"/>
      <c r="B9" s="20"/>
      <c r="C9" s="20"/>
      <c r="D9" s="20"/>
      <c r="E9" s="20"/>
      <c r="F9" s="20"/>
      <c r="G9" s="20"/>
      <c r="H9" s="27" t="str">
        <f aca="false">IF(OR(F9="",G9=""),"",IFERROR(INDEX(Lists!$U$3:$Y$5,MATCH(F9,Lists!$T$3:$T$5,0),MATCH(G9,Lists!$U$2:$Y$2,0)),"Check inputs"))</f>
        <v/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1"/>
      <c r="T9" s="21"/>
      <c r="U9" s="20"/>
      <c r="V9" s="20"/>
      <c r="W9" s="27" t="str">
        <f aca="true">IF(OR(T9="",LEFT(O9,6)="Closed"),"",TODAY()-T9)</f>
        <v/>
      </c>
      <c r="X9" s="27" t="str">
        <f aca="true">IF(OR(S9="",LEFT(O9,6)="Closed"),"",IF(TODAY()&gt;S9,"Overdue",""))</f>
        <v/>
      </c>
    </row>
    <row r="10" customFormat="false" ht="15" hidden="false" customHeight="false" outlineLevel="0" collapsed="false">
      <c r="A10" s="20"/>
      <c r="B10" s="20"/>
      <c r="C10" s="20"/>
      <c r="D10" s="20"/>
      <c r="E10" s="20"/>
      <c r="F10" s="20"/>
      <c r="G10" s="20"/>
      <c r="H10" s="27" t="str">
        <f aca="false">IF(OR(F10="",G10=""),"",IFERROR(INDEX(Lists!$U$3:$Y$5,MATCH(F10,Lists!$T$3:$T$5,0),MATCH(G10,Lists!$U$2:$Y$2,0)),"Check inputs"))</f>
        <v/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1"/>
      <c r="T10" s="21"/>
      <c r="U10" s="20"/>
      <c r="V10" s="20"/>
      <c r="W10" s="27" t="str">
        <f aca="true">IF(OR(T10="",LEFT(O10,6)="Closed"),"",TODAY()-T10)</f>
        <v/>
      </c>
      <c r="X10" s="27" t="str">
        <f aca="true">IF(OR(S10="",LEFT(O10,6)="Closed"),"",IF(TODAY()&gt;S10,"Overdue",""))</f>
        <v/>
      </c>
    </row>
    <row r="11" customFormat="false" ht="15" hidden="false" customHeight="false" outlineLevel="0" collapsed="false">
      <c r="A11" s="20"/>
      <c r="B11" s="20"/>
      <c r="C11" s="20"/>
      <c r="D11" s="20"/>
      <c r="E11" s="20"/>
      <c r="F11" s="20"/>
      <c r="G11" s="20"/>
      <c r="H11" s="27" t="str">
        <f aca="false">IF(OR(F11="",G11=""),"",IFERROR(INDEX(Lists!$U$3:$Y$5,MATCH(F11,Lists!$T$3:$T$5,0),MATCH(G11,Lists!$U$2:$Y$2,0)),"Check inputs"))</f>
        <v/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1"/>
      <c r="T11" s="21"/>
      <c r="U11" s="20"/>
      <c r="V11" s="20"/>
      <c r="W11" s="27" t="str">
        <f aca="true">IF(OR(T11="",LEFT(O11,6)="Closed"),"",TODAY()-T11)</f>
        <v/>
      </c>
      <c r="X11" s="27" t="str">
        <f aca="true">IF(OR(S11="",LEFT(O11,6)="Closed"),"",IF(TODAY()&gt;S11,"Overdue",""))</f>
        <v/>
      </c>
    </row>
    <row r="12" customFormat="false" ht="15" hidden="false" customHeight="false" outlineLevel="0" collapsed="false">
      <c r="A12" s="20"/>
      <c r="B12" s="20"/>
      <c r="C12" s="20"/>
      <c r="D12" s="20"/>
      <c r="E12" s="20"/>
      <c r="F12" s="20"/>
      <c r="G12" s="20"/>
      <c r="H12" s="27" t="str">
        <f aca="false">IF(OR(F12="",G12=""),"",IFERROR(INDEX(Lists!$U$3:$Y$5,MATCH(F12,Lists!$T$3:$T$5,0),MATCH(G12,Lists!$U$2:$Y$2,0)),"Check inputs"))</f>
        <v/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1"/>
      <c r="T12" s="21"/>
      <c r="U12" s="20"/>
      <c r="V12" s="20"/>
      <c r="W12" s="27" t="str">
        <f aca="true">IF(OR(T12="",LEFT(O12,6)="Closed"),"",TODAY()-T12)</f>
        <v/>
      </c>
      <c r="X12" s="27" t="str">
        <f aca="true">IF(OR(S12="",LEFT(O12,6)="Closed"),"",IF(TODAY()&gt;S12,"Overdue",""))</f>
        <v/>
      </c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0"/>
      <c r="G13" s="20"/>
      <c r="H13" s="27" t="str">
        <f aca="false">IF(OR(F13="",G13=""),"",IFERROR(INDEX(Lists!$U$3:$Y$5,MATCH(F13,Lists!$T$3:$T$5,0),MATCH(G13,Lists!$U$2:$Y$2,0)),"Check inputs"))</f>
        <v/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1"/>
      <c r="T13" s="21"/>
      <c r="U13" s="20"/>
      <c r="V13" s="20"/>
      <c r="W13" s="27" t="str">
        <f aca="true">IF(OR(T13="",LEFT(O13,6)="Closed"),"",TODAY()-T13)</f>
        <v/>
      </c>
      <c r="X13" s="27" t="str">
        <f aca="true">IF(OR(S13="",LEFT(O13,6)="Closed"),"",IF(TODAY()&gt;S13,"Overdue",""))</f>
        <v/>
      </c>
    </row>
    <row r="14" customFormat="false" ht="15" hidden="false" customHeight="false" outlineLevel="0" collapsed="false">
      <c r="A14" s="20"/>
      <c r="B14" s="20"/>
      <c r="C14" s="20"/>
      <c r="D14" s="20"/>
      <c r="E14" s="20"/>
      <c r="F14" s="20"/>
      <c r="G14" s="20"/>
      <c r="H14" s="27" t="str">
        <f aca="false">IF(OR(F14="",G14=""),"",IFERROR(INDEX(Lists!$U$3:$Y$5,MATCH(F14,Lists!$T$3:$T$5,0),MATCH(G14,Lists!$U$2:$Y$2,0)),"Check inputs"))</f>
        <v/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1"/>
      <c r="T14" s="21"/>
      <c r="U14" s="20"/>
      <c r="V14" s="20"/>
      <c r="W14" s="27" t="str">
        <f aca="true">IF(OR(T14="",LEFT(O14,6)="Closed"),"",TODAY()-T14)</f>
        <v/>
      </c>
      <c r="X14" s="27" t="str">
        <f aca="true">IF(OR(S14="",LEFT(O14,6)="Closed"),"",IF(TODAY()&gt;S14,"Overdue",""))</f>
        <v/>
      </c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0"/>
      <c r="G15" s="20"/>
      <c r="H15" s="27" t="str">
        <f aca="false">IF(OR(F15="",G15=""),"",IFERROR(INDEX(Lists!$U$3:$Y$5,MATCH(F15,Lists!$T$3:$T$5,0),MATCH(G15,Lists!$U$2:$Y$2,0)),"Check inputs"))</f>
        <v/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1"/>
      <c r="T15" s="21"/>
      <c r="U15" s="20"/>
      <c r="V15" s="20"/>
      <c r="W15" s="27" t="str">
        <f aca="true">IF(OR(T15="",LEFT(O15,6)="Closed"),"",TODAY()-T15)</f>
        <v/>
      </c>
      <c r="X15" s="27" t="str">
        <f aca="true">IF(OR(S15="",LEFT(O15,6)="Closed"),"",IF(TODAY()&gt;S15,"Overdue",""))</f>
        <v/>
      </c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0"/>
      <c r="G16" s="20"/>
      <c r="H16" s="27" t="str">
        <f aca="false">IF(OR(F16="",G16=""),"",IFERROR(INDEX(Lists!$U$3:$Y$5,MATCH(F16,Lists!$T$3:$T$5,0),MATCH(G16,Lists!$U$2:$Y$2,0)),"Check inputs"))</f>
        <v/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1"/>
      <c r="T16" s="21"/>
      <c r="U16" s="20"/>
      <c r="V16" s="20"/>
      <c r="W16" s="27" t="str">
        <f aca="true">IF(OR(T16="",LEFT(O16,6)="Closed"),"",TODAY()-T16)</f>
        <v/>
      </c>
      <c r="X16" s="27" t="str">
        <f aca="true">IF(OR(S16="",LEFT(O16,6)="Closed"),"",IF(TODAY()&gt;S16,"Overdue",""))</f>
        <v/>
      </c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  <c r="H17" s="27" t="str">
        <f aca="false">IF(OR(F17="",G17=""),"",IFERROR(INDEX(Lists!$U$3:$Y$5,MATCH(F17,Lists!$T$3:$T$5,0),MATCH(G17,Lists!$U$2:$Y$2,0)),"Check inputs"))</f>
        <v/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1"/>
      <c r="T17" s="21"/>
      <c r="U17" s="20"/>
      <c r="V17" s="20"/>
      <c r="W17" s="27" t="str">
        <f aca="true">IF(OR(T17="",LEFT(O17,6)="Closed"),"",TODAY()-T17)</f>
        <v/>
      </c>
      <c r="X17" s="27" t="str">
        <f aca="true">IF(OR(S17="",LEFT(O17,6)="Closed"),"",IF(TODAY()&gt;S17,"Overdue",""))</f>
        <v/>
      </c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0"/>
      <c r="G18" s="20"/>
      <c r="H18" s="27" t="str">
        <f aca="false">IF(OR(F18="",G18=""),"",IFERROR(INDEX(Lists!$U$3:$Y$5,MATCH(F18,Lists!$T$3:$T$5,0),MATCH(G18,Lists!$U$2:$Y$2,0)),"Check inputs"))</f>
        <v/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1"/>
      <c r="T18" s="21"/>
      <c r="U18" s="20"/>
      <c r="V18" s="20"/>
      <c r="W18" s="27" t="str">
        <f aca="true">IF(OR(T18="",LEFT(O18,6)="Closed"),"",TODAY()-T18)</f>
        <v/>
      </c>
      <c r="X18" s="27" t="str">
        <f aca="true">IF(OR(S18="",LEFT(O18,6)="Closed"),"",IF(TODAY()&gt;S18,"Overdue",""))</f>
        <v/>
      </c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7" t="str">
        <f aca="false">IF(OR(F19="",G19=""),"",IFERROR(INDEX(Lists!$U$3:$Y$5,MATCH(F19,Lists!$T$3:$T$5,0),MATCH(G19,Lists!$U$2:$Y$2,0)),"Check inputs"))</f>
        <v/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1"/>
      <c r="T19" s="21"/>
      <c r="U19" s="20"/>
      <c r="V19" s="20"/>
      <c r="W19" s="27" t="str">
        <f aca="true">IF(OR(T19="",LEFT(O19,6)="Closed"),"",TODAY()-T19)</f>
        <v/>
      </c>
      <c r="X19" s="27" t="str">
        <f aca="true">IF(OR(S19="",LEFT(O19,6)="Closed"),"",IF(TODAY()&gt;S19,"Overdue",""))</f>
        <v/>
      </c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  <c r="G20" s="20"/>
      <c r="H20" s="27" t="str">
        <f aca="false">IF(OR(F20="",G20=""),"",IFERROR(INDEX(Lists!$U$3:$Y$5,MATCH(F20,Lists!$T$3:$T$5,0),MATCH(G20,Lists!$U$2:$Y$2,0)),"Check inputs"))</f>
        <v/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1"/>
      <c r="T20" s="21"/>
      <c r="U20" s="20"/>
      <c r="V20" s="20"/>
      <c r="W20" s="27" t="str">
        <f aca="true">IF(OR(T20="",LEFT(O20,6)="Closed"),"",TODAY()-T20)</f>
        <v/>
      </c>
      <c r="X20" s="27" t="str">
        <f aca="true">IF(OR(S20="",LEFT(O20,6)="Closed"),"",IF(TODAY()&gt;S20,"Overdue",""))</f>
        <v/>
      </c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  <c r="H21" s="27" t="str">
        <f aca="false">IF(OR(F21="",G21=""),"",IFERROR(INDEX(Lists!$U$3:$Y$5,MATCH(F21,Lists!$T$3:$T$5,0),MATCH(G21,Lists!$U$2:$Y$2,0)),"Check inputs"))</f>
        <v/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1"/>
      <c r="T21" s="21"/>
      <c r="U21" s="20"/>
      <c r="V21" s="20"/>
      <c r="W21" s="27" t="str">
        <f aca="true">IF(OR(T21="",LEFT(O21,6)="Closed"),"",TODAY()-T21)</f>
        <v/>
      </c>
      <c r="X21" s="27" t="str">
        <f aca="true">IF(OR(S21="",LEFT(O21,6)="Closed"),"",IF(TODAY()&gt;S21,"Overdue",""))</f>
        <v/>
      </c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0"/>
      <c r="G22" s="20"/>
      <c r="H22" s="27" t="str">
        <f aca="false">IF(OR(F22="",G22=""),"",IFERROR(INDEX(Lists!$U$3:$Y$5,MATCH(F22,Lists!$T$3:$T$5,0),MATCH(G22,Lists!$U$2:$Y$2,0)),"Check inputs"))</f>
        <v/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1"/>
      <c r="T22" s="21"/>
      <c r="U22" s="20"/>
      <c r="V22" s="20"/>
      <c r="W22" s="27" t="str">
        <f aca="true">IF(OR(T22="",LEFT(O22,6)="Closed"),"",TODAY()-T22)</f>
        <v/>
      </c>
      <c r="X22" s="27" t="str">
        <f aca="true">IF(OR(S22="",LEFT(O22,6)="Closed"),"",IF(TODAY()&gt;S22,"Overdue",""))</f>
        <v/>
      </c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  <c r="G23" s="20"/>
      <c r="H23" s="27" t="str">
        <f aca="false">IF(OR(F23="",G23=""),"",IFERROR(INDEX(Lists!$U$3:$Y$5,MATCH(F23,Lists!$T$3:$T$5,0),MATCH(G23,Lists!$U$2:$Y$2,0)),"Check inputs"))</f>
        <v/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1"/>
      <c r="T23" s="21"/>
      <c r="U23" s="20"/>
      <c r="V23" s="20"/>
      <c r="W23" s="27" t="str">
        <f aca="true">IF(OR(T23="",LEFT(O23,6)="Closed"),"",TODAY()-T23)</f>
        <v/>
      </c>
      <c r="X23" s="27" t="str">
        <f aca="true">IF(OR(S23="",LEFT(O23,6)="Closed"),"",IF(TODAY()&gt;S23,"Overdue",""))</f>
        <v/>
      </c>
    </row>
    <row r="24" customFormat="false" ht="15" hidden="false" customHeight="false" outlineLevel="0" collapsed="false">
      <c r="A24" s="20"/>
      <c r="B24" s="20"/>
      <c r="C24" s="20"/>
      <c r="D24" s="20"/>
      <c r="E24" s="20"/>
      <c r="F24" s="20"/>
      <c r="G24" s="20"/>
      <c r="H24" s="27" t="str">
        <f aca="false">IF(OR(F24="",G24=""),"",IFERROR(INDEX(Lists!$U$3:$Y$5,MATCH(F24,Lists!$T$3:$T$5,0),MATCH(G24,Lists!$U$2:$Y$2,0)),"Check inputs"))</f>
        <v/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1"/>
      <c r="T24" s="21"/>
      <c r="U24" s="20"/>
      <c r="V24" s="20"/>
      <c r="W24" s="27" t="str">
        <f aca="true">IF(OR(T24="",LEFT(O24,6)="Closed"),"",TODAY()-T24)</f>
        <v/>
      </c>
      <c r="X24" s="27" t="str">
        <f aca="true">IF(OR(S24="",LEFT(O24,6)="Closed"),"",IF(TODAY()&gt;S24,"Overdue",""))</f>
        <v/>
      </c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0"/>
      <c r="G25" s="20"/>
      <c r="H25" s="27" t="str">
        <f aca="false">IF(OR(F25="",G25=""),"",IFERROR(INDEX(Lists!$U$3:$Y$5,MATCH(F25,Lists!$T$3:$T$5,0),MATCH(G25,Lists!$U$2:$Y$2,0)),"Check inputs"))</f>
        <v/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1"/>
      <c r="T25" s="21"/>
      <c r="U25" s="20"/>
      <c r="V25" s="20"/>
      <c r="W25" s="27" t="str">
        <f aca="true">IF(OR(T25="",LEFT(O25,6)="Closed"),"",TODAY()-T25)</f>
        <v/>
      </c>
      <c r="X25" s="27" t="str">
        <f aca="true">IF(OR(S25="",LEFT(O25,6)="Closed"),"",IF(TODAY()&gt;S25,"Overdue",""))</f>
        <v/>
      </c>
    </row>
    <row r="26" customFormat="false" ht="15" hidden="false" customHeight="false" outlineLevel="0" collapsed="false">
      <c r="A26" s="20"/>
      <c r="B26" s="20"/>
      <c r="C26" s="20"/>
      <c r="D26" s="20"/>
      <c r="E26" s="20"/>
      <c r="F26" s="20"/>
      <c r="G26" s="20"/>
      <c r="H26" s="27" t="str">
        <f aca="false">IF(OR(F26="",G26=""),"",IFERROR(INDEX(Lists!$U$3:$Y$5,MATCH(F26,Lists!$T$3:$T$5,0),MATCH(G26,Lists!$U$2:$Y$2,0)),"Check inputs"))</f>
        <v/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1"/>
      <c r="T26" s="21"/>
      <c r="U26" s="20"/>
      <c r="V26" s="20"/>
      <c r="W26" s="27" t="str">
        <f aca="true">IF(OR(T26="",LEFT(O26,6)="Closed"),"",TODAY()-T26)</f>
        <v/>
      </c>
      <c r="X26" s="27" t="str">
        <f aca="true">IF(OR(S26="",LEFT(O26,6)="Closed"),"",IF(TODAY()&gt;S26,"Overdue",""))</f>
        <v/>
      </c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0"/>
      <c r="G27" s="20"/>
      <c r="H27" s="27" t="str">
        <f aca="false">IF(OR(F27="",G27=""),"",IFERROR(INDEX(Lists!$U$3:$Y$5,MATCH(F27,Lists!$T$3:$T$5,0),MATCH(G27,Lists!$U$2:$Y$2,0)),"Check inputs"))</f>
        <v/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1"/>
      <c r="T27" s="21"/>
      <c r="U27" s="20"/>
      <c r="V27" s="20"/>
      <c r="W27" s="27" t="str">
        <f aca="true">IF(OR(T27="",LEFT(O27,6)="Closed"),"",TODAY()-T27)</f>
        <v/>
      </c>
      <c r="X27" s="27" t="str">
        <f aca="true">IF(OR(S27="",LEFT(O27,6)="Closed"),"",IF(TODAY()&gt;S27,"Overdue",""))</f>
        <v/>
      </c>
    </row>
    <row r="28" customFormat="false" ht="15" hidden="false" customHeight="false" outlineLevel="0" collapsed="false">
      <c r="A28" s="20"/>
      <c r="B28" s="20"/>
      <c r="C28" s="20"/>
      <c r="D28" s="20"/>
      <c r="E28" s="20"/>
      <c r="F28" s="20"/>
      <c r="G28" s="20"/>
      <c r="H28" s="27" t="str">
        <f aca="false">IF(OR(F28="",G28=""),"",IFERROR(INDEX(Lists!$U$3:$Y$5,MATCH(F28,Lists!$T$3:$T$5,0),MATCH(G28,Lists!$U$2:$Y$2,0)),"Check inputs"))</f>
        <v/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1"/>
      <c r="T28" s="21"/>
      <c r="U28" s="20"/>
      <c r="V28" s="20"/>
      <c r="W28" s="27" t="str">
        <f aca="true">IF(OR(T28="",LEFT(O28,6)="Closed"),"",TODAY()-T28)</f>
        <v/>
      </c>
      <c r="X28" s="27" t="str">
        <f aca="true">IF(OR(S28="",LEFT(O28,6)="Closed"),"",IF(TODAY()&gt;S28,"Overdue",""))</f>
        <v/>
      </c>
    </row>
    <row r="29" customFormat="false" ht="15" hidden="false" customHeight="false" outlineLevel="0" collapsed="false">
      <c r="A29" s="20"/>
      <c r="B29" s="20"/>
      <c r="C29" s="20"/>
      <c r="D29" s="20"/>
      <c r="E29" s="20"/>
      <c r="F29" s="20"/>
      <c r="G29" s="20"/>
      <c r="H29" s="27" t="str">
        <f aca="false">IF(OR(F29="",G29=""),"",IFERROR(INDEX(Lists!$U$3:$Y$5,MATCH(F29,Lists!$T$3:$T$5,0),MATCH(G29,Lists!$U$2:$Y$2,0)),"Check inputs"))</f>
        <v/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1"/>
      <c r="T29" s="21"/>
      <c r="U29" s="20"/>
      <c r="V29" s="20"/>
      <c r="W29" s="27" t="str">
        <f aca="true">IF(OR(T29="",LEFT(O29,6)="Closed"),"",TODAY()-T29)</f>
        <v/>
      </c>
      <c r="X29" s="27" t="str">
        <f aca="true">IF(OR(S29="",LEFT(O29,6)="Closed"),"",IF(TODAY()&gt;S29,"Overdue",""))</f>
        <v/>
      </c>
    </row>
    <row r="30" customFormat="false" ht="15" hidden="false" customHeight="false" outlineLevel="0" collapsed="false">
      <c r="A30" s="20"/>
      <c r="B30" s="20"/>
      <c r="C30" s="20"/>
      <c r="D30" s="20"/>
      <c r="E30" s="20"/>
      <c r="F30" s="20"/>
      <c r="G30" s="20"/>
      <c r="H30" s="27" t="str">
        <f aca="false">IF(OR(F30="",G30=""),"",IFERROR(INDEX(Lists!$U$3:$Y$5,MATCH(F30,Lists!$T$3:$T$5,0),MATCH(G30,Lists!$U$2:$Y$2,0)),"Check inputs"))</f>
        <v/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1"/>
      <c r="T30" s="21"/>
      <c r="U30" s="20"/>
      <c r="V30" s="20"/>
      <c r="W30" s="27" t="str">
        <f aca="true">IF(OR(T30="",LEFT(O30,6)="Closed"),"",TODAY()-T30)</f>
        <v/>
      </c>
      <c r="X30" s="27" t="str">
        <f aca="true">IF(OR(S30="",LEFT(O30,6)="Closed"),"",IF(TODAY()&gt;S30,"Overdue",""))</f>
        <v/>
      </c>
    </row>
    <row r="31" customFormat="false" ht="15" hidden="false" customHeight="false" outlineLevel="0" collapsed="false">
      <c r="A31" s="20"/>
      <c r="B31" s="20"/>
      <c r="C31" s="20"/>
      <c r="D31" s="20"/>
      <c r="E31" s="20"/>
      <c r="F31" s="20"/>
      <c r="G31" s="20"/>
      <c r="H31" s="27" t="str">
        <f aca="false">IF(OR(F31="",G31=""),"",IFERROR(INDEX(Lists!$U$3:$Y$5,MATCH(F31,Lists!$T$3:$T$5,0),MATCH(G31,Lists!$U$2:$Y$2,0)),"Check inputs"))</f>
        <v/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1"/>
      <c r="T31" s="21"/>
      <c r="U31" s="20"/>
      <c r="V31" s="20"/>
      <c r="W31" s="27" t="str">
        <f aca="true">IF(OR(T31="",LEFT(O31,6)="Closed"),"",TODAY()-T31)</f>
        <v/>
      </c>
      <c r="X31" s="27" t="str">
        <f aca="true">IF(OR(S31="",LEFT(O31,6)="Closed"),"",IF(TODAY()&gt;S31,"Overdue",""))</f>
        <v/>
      </c>
    </row>
    <row r="32" customFormat="false" ht="15" hidden="false" customHeight="false" outlineLevel="0" collapsed="false">
      <c r="A32" s="20"/>
      <c r="B32" s="20"/>
      <c r="C32" s="20"/>
      <c r="D32" s="20"/>
      <c r="E32" s="20"/>
      <c r="F32" s="20"/>
      <c r="G32" s="20"/>
      <c r="H32" s="27" t="str">
        <f aca="false">IF(OR(F32="",G32=""),"",IFERROR(INDEX(Lists!$U$3:$Y$5,MATCH(F32,Lists!$T$3:$T$5,0),MATCH(G32,Lists!$U$2:$Y$2,0)),"Check inputs"))</f>
        <v/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1"/>
      <c r="T32" s="21"/>
      <c r="U32" s="20"/>
      <c r="V32" s="20"/>
      <c r="W32" s="27" t="str">
        <f aca="true">IF(OR(T32="",LEFT(O32,6)="Closed"),"",TODAY()-T32)</f>
        <v/>
      </c>
      <c r="X32" s="27" t="str">
        <f aca="true">IF(OR(S32="",LEFT(O32,6)="Closed"),"",IF(TODAY()&gt;S32,"Overdue",""))</f>
        <v/>
      </c>
    </row>
    <row r="33" customFormat="false" ht="15" hidden="false" customHeight="false" outlineLevel="0" collapsed="false">
      <c r="A33" s="20"/>
      <c r="B33" s="20"/>
      <c r="C33" s="20"/>
      <c r="D33" s="20"/>
      <c r="E33" s="20"/>
      <c r="F33" s="20"/>
      <c r="G33" s="20"/>
      <c r="H33" s="27" t="str">
        <f aca="false">IF(OR(F33="",G33=""),"",IFERROR(INDEX(Lists!$U$3:$Y$5,MATCH(F33,Lists!$T$3:$T$5,0),MATCH(G33,Lists!$U$2:$Y$2,0)),"Check inputs"))</f>
        <v/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1"/>
      <c r="T33" s="21"/>
      <c r="U33" s="20"/>
      <c r="V33" s="20"/>
      <c r="W33" s="27" t="str">
        <f aca="true">IF(OR(T33="",LEFT(O33,6)="Closed"),"",TODAY()-T33)</f>
        <v/>
      </c>
      <c r="X33" s="27" t="str">
        <f aca="true">IF(OR(S33="",LEFT(O33,6)="Closed"),"",IF(TODAY()&gt;S33,"Overdue",""))</f>
        <v/>
      </c>
    </row>
    <row r="34" customFormat="false" ht="15" hidden="false" customHeight="false" outlineLevel="0" collapsed="false">
      <c r="A34" s="20"/>
      <c r="B34" s="20"/>
      <c r="C34" s="20"/>
      <c r="D34" s="20"/>
      <c r="E34" s="20"/>
      <c r="F34" s="20"/>
      <c r="G34" s="20"/>
      <c r="H34" s="27" t="str">
        <f aca="false">IF(OR(F34="",G34=""),"",IFERROR(INDEX(Lists!$U$3:$Y$5,MATCH(F34,Lists!$T$3:$T$5,0),MATCH(G34,Lists!$U$2:$Y$2,0)),"Check inputs"))</f>
        <v/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1"/>
      <c r="T34" s="21"/>
      <c r="U34" s="20"/>
      <c r="V34" s="20"/>
      <c r="W34" s="27" t="str">
        <f aca="true">IF(OR(T34="",LEFT(O34,6)="Closed"),"",TODAY()-T34)</f>
        <v/>
      </c>
      <c r="X34" s="27" t="str">
        <f aca="true">IF(OR(S34="",LEFT(O34,6)="Closed"),"",IF(TODAY()&gt;S34,"Overdue",""))</f>
        <v/>
      </c>
    </row>
    <row r="35" customFormat="false" ht="15" hidden="false" customHeight="false" outlineLevel="0" collapsed="false">
      <c r="A35" s="20"/>
      <c r="B35" s="20"/>
      <c r="C35" s="20"/>
      <c r="D35" s="20"/>
      <c r="E35" s="20"/>
      <c r="F35" s="20"/>
      <c r="G35" s="20"/>
      <c r="H35" s="27" t="str">
        <f aca="false">IF(OR(F35="",G35=""),"",IFERROR(INDEX(Lists!$U$3:$Y$5,MATCH(F35,Lists!$T$3:$T$5,0),MATCH(G35,Lists!$U$2:$Y$2,0)),"Check inputs"))</f>
        <v/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1"/>
      <c r="T35" s="21"/>
      <c r="U35" s="20"/>
      <c r="V35" s="20"/>
      <c r="W35" s="27" t="str">
        <f aca="true">IF(OR(T35="",LEFT(O35,6)="Closed"),"",TODAY()-T35)</f>
        <v/>
      </c>
      <c r="X35" s="27" t="str">
        <f aca="true">IF(OR(S35="",LEFT(O35,6)="Closed"),"",IF(TODAY()&gt;S35,"Overdue",""))</f>
        <v/>
      </c>
    </row>
    <row r="36" customFormat="false" ht="15" hidden="false" customHeight="false" outlineLevel="0" collapsed="false">
      <c r="A36" s="20"/>
      <c r="B36" s="20"/>
      <c r="C36" s="20"/>
      <c r="D36" s="20"/>
      <c r="E36" s="20"/>
      <c r="F36" s="20"/>
      <c r="G36" s="20"/>
      <c r="H36" s="27" t="str">
        <f aca="false">IF(OR(F36="",G36=""),"",IFERROR(INDEX(Lists!$U$3:$Y$5,MATCH(F36,Lists!$T$3:$T$5,0),MATCH(G36,Lists!$U$2:$Y$2,0)),"Check inputs"))</f>
        <v/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1"/>
      <c r="T36" s="21"/>
      <c r="U36" s="20"/>
      <c r="V36" s="20"/>
      <c r="W36" s="27" t="str">
        <f aca="true">IF(OR(T36="",LEFT(O36,6)="Closed"),"",TODAY()-T36)</f>
        <v/>
      </c>
      <c r="X36" s="27" t="str">
        <f aca="true">IF(OR(S36="",LEFT(O36,6)="Closed"),"",IF(TODAY()&gt;S36,"Overdue",""))</f>
        <v/>
      </c>
    </row>
    <row r="37" customFormat="false" ht="15" hidden="false" customHeight="false" outlineLevel="0" collapsed="false">
      <c r="A37" s="20"/>
      <c r="B37" s="20"/>
      <c r="C37" s="20"/>
      <c r="D37" s="20"/>
      <c r="E37" s="20"/>
      <c r="F37" s="20"/>
      <c r="G37" s="20"/>
      <c r="H37" s="27" t="str">
        <f aca="false">IF(OR(F37="",G37=""),"",IFERROR(INDEX(Lists!$U$3:$Y$5,MATCH(F37,Lists!$T$3:$T$5,0),MATCH(G37,Lists!$U$2:$Y$2,0)),"Check inputs"))</f>
        <v/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1"/>
      <c r="T37" s="21"/>
      <c r="U37" s="20"/>
      <c r="V37" s="20"/>
      <c r="W37" s="27" t="str">
        <f aca="true">IF(OR(T37="",LEFT(O37,6)="Closed"),"",TODAY()-T37)</f>
        <v/>
      </c>
      <c r="X37" s="27" t="str">
        <f aca="true">IF(OR(S37="",LEFT(O37,6)="Closed"),"",IF(TODAY()&gt;S37,"Overdue",""))</f>
        <v/>
      </c>
    </row>
    <row r="38" customFormat="false" ht="15" hidden="false" customHeight="false" outlineLevel="0" collapsed="false">
      <c r="A38" s="20"/>
      <c r="B38" s="20"/>
      <c r="C38" s="20"/>
      <c r="D38" s="20"/>
      <c r="E38" s="20"/>
      <c r="F38" s="20"/>
      <c r="G38" s="20"/>
      <c r="H38" s="27" t="str">
        <f aca="false">IF(OR(F38="",G38=""),"",IFERROR(INDEX(Lists!$U$3:$Y$5,MATCH(F38,Lists!$T$3:$T$5,0),MATCH(G38,Lists!$U$2:$Y$2,0)),"Check inputs"))</f>
        <v/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1"/>
      <c r="T38" s="21"/>
      <c r="U38" s="20"/>
      <c r="V38" s="20"/>
      <c r="W38" s="27" t="str">
        <f aca="true">IF(OR(T38="",LEFT(O38,6)="Closed"),"",TODAY()-T38)</f>
        <v/>
      </c>
      <c r="X38" s="27" t="str">
        <f aca="true">IF(OR(S38="",LEFT(O38,6)="Closed"),"",IF(TODAY()&gt;S38,"Overdue",""))</f>
        <v/>
      </c>
    </row>
    <row r="39" customFormat="false" ht="15" hidden="false" customHeight="false" outlineLevel="0" collapsed="false">
      <c r="A39" s="20"/>
      <c r="B39" s="20"/>
      <c r="C39" s="20"/>
      <c r="D39" s="20"/>
      <c r="E39" s="20"/>
      <c r="F39" s="20"/>
      <c r="G39" s="20"/>
      <c r="H39" s="27" t="str">
        <f aca="false">IF(OR(F39="",G39=""),"",IFERROR(INDEX(Lists!$U$3:$Y$5,MATCH(F39,Lists!$T$3:$T$5,0),MATCH(G39,Lists!$U$2:$Y$2,0)),"Check inputs"))</f>
        <v/>
      </c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1"/>
      <c r="T39" s="21"/>
      <c r="U39" s="20"/>
      <c r="V39" s="20"/>
      <c r="W39" s="27" t="str">
        <f aca="true">IF(OR(T39="",LEFT(O39,6)="Closed"),"",TODAY()-T39)</f>
        <v/>
      </c>
      <c r="X39" s="27" t="str">
        <f aca="true">IF(OR(S39="",LEFT(O39,6)="Closed"),"",IF(TODAY()&gt;S39,"Overdue",""))</f>
        <v/>
      </c>
    </row>
    <row r="40" customFormat="false" ht="15" hidden="false" customHeight="false" outlineLevel="0" collapsed="false">
      <c r="A40" s="20"/>
      <c r="B40" s="20"/>
      <c r="C40" s="20"/>
      <c r="D40" s="20"/>
      <c r="E40" s="20"/>
      <c r="F40" s="20"/>
      <c r="G40" s="20"/>
      <c r="H40" s="27" t="str">
        <f aca="false">IF(OR(F40="",G40=""),"",IFERROR(INDEX(Lists!$U$3:$Y$5,MATCH(F40,Lists!$T$3:$T$5,0),MATCH(G40,Lists!$U$2:$Y$2,0)),"Check inputs"))</f>
        <v/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1"/>
      <c r="T40" s="21"/>
      <c r="U40" s="20"/>
      <c r="V40" s="20"/>
      <c r="W40" s="27" t="str">
        <f aca="true">IF(OR(T40="",LEFT(O40,6)="Closed"),"",TODAY()-T40)</f>
        <v/>
      </c>
      <c r="X40" s="27" t="str">
        <f aca="true">IF(OR(S40="",LEFT(O40,6)="Closed"),"",IF(TODAY()&gt;S40,"Overdue",""))</f>
        <v/>
      </c>
    </row>
    <row r="41" customFormat="false" ht="15" hidden="false" customHeight="false" outlineLevel="0" collapsed="false">
      <c r="A41" s="20"/>
      <c r="B41" s="20"/>
      <c r="C41" s="20"/>
      <c r="D41" s="20"/>
      <c r="E41" s="20"/>
      <c r="F41" s="20"/>
      <c r="G41" s="20"/>
      <c r="H41" s="27" t="str">
        <f aca="false">IF(OR(F41="",G41=""),"",IFERROR(INDEX(Lists!$U$3:$Y$5,MATCH(F41,Lists!$T$3:$T$5,0),MATCH(G41,Lists!$U$2:$Y$2,0)),"Check inputs"))</f>
        <v/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1"/>
      <c r="T41" s="21"/>
      <c r="U41" s="20"/>
      <c r="V41" s="20"/>
      <c r="W41" s="27" t="str">
        <f aca="true">IF(OR(T41="",LEFT(O41,6)="Closed"),"",TODAY()-T41)</f>
        <v/>
      </c>
      <c r="X41" s="27" t="str">
        <f aca="true">IF(OR(S41="",LEFT(O41,6)="Closed"),"",IF(TODAY()&gt;S41,"Overdue",""))</f>
        <v/>
      </c>
    </row>
    <row r="42" customFormat="false" ht="15" hidden="false" customHeight="false" outlineLevel="0" collapsed="false">
      <c r="A42" s="20"/>
      <c r="B42" s="20"/>
      <c r="C42" s="20"/>
      <c r="D42" s="20"/>
      <c r="E42" s="20"/>
      <c r="F42" s="20"/>
      <c r="G42" s="20"/>
      <c r="H42" s="27" t="str">
        <f aca="false">IF(OR(F42="",G42=""),"",IFERROR(INDEX(Lists!$U$3:$Y$5,MATCH(F42,Lists!$T$3:$T$5,0),MATCH(G42,Lists!$U$2:$Y$2,0)),"Check inputs"))</f>
        <v/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1"/>
      <c r="T42" s="21"/>
      <c r="U42" s="20"/>
      <c r="V42" s="20"/>
      <c r="W42" s="27" t="str">
        <f aca="true">IF(OR(T42="",LEFT(O42,6)="Closed"),"",TODAY()-T42)</f>
        <v/>
      </c>
      <c r="X42" s="27" t="str">
        <f aca="true">IF(OR(S42="",LEFT(O42,6)="Closed"),"",IF(TODAY()&gt;S42,"Overdue",""))</f>
        <v/>
      </c>
    </row>
    <row r="43" customFormat="false" ht="15" hidden="false" customHeight="false" outlineLevel="0" collapsed="false">
      <c r="A43" s="20"/>
      <c r="B43" s="20"/>
      <c r="C43" s="20"/>
      <c r="D43" s="20"/>
      <c r="E43" s="20"/>
      <c r="F43" s="20"/>
      <c r="G43" s="20"/>
      <c r="H43" s="27" t="str">
        <f aca="false">IF(OR(F43="",G43=""),"",IFERROR(INDEX(Lists!$U$3:$Y$5,MATCH(F43,Lists!$T$3:$T$5,0),MATCH(G43,Lists!$U$2:$Y$2,0)),"Check inputs"))</f>
        <v/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1"/>
      <c r="T43" s="21"/>
      <c r="U43" s="20"/>
      <c r="V43" s="20"/>
      <c r="W43" s="27" t="str">
        <f aca="true">IF(OR(T43="",LEFT(O43,6)="Closed"),"",TODAY()-T43)</f>
        <v/>
      </c>
      <c r="X43" s="27" t="str">
        <f aca="true">IF(OR(S43="",LEFT(O43,6)="Closed"),"",IF(TODAY()&gt;S43,"Overdue",""))</f>
        <v/>
      </c>
    </row>
    <row r="44" customFormat="false" ht="15" hidden="false" customHeight="false" outlineLevel="0" collapsed="false">
      <c r="A44" s="20"/>
      <c r="B44" s="20"/>
      <c r="C44" s="20"/>
      <c r="D44" s="20"/>
      <c r="E44" s="20"/>
      <c r="F44" s="20"/>
      <c r="G44" s="20"/>
      <c r="H44" s="27" t="str">
        <f aca="false">IF(OR(F44="",G44=""),"",IFERROR(INDEX(Lists!$U$3:$Y$5,MATCH(F44,Lists!$T$3:$T$5,0),MATCH(G44,Lists!$U$2:$Y$2,0)),"Check inputs"))</f>
        <v/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1"/>
      <c r="T44" s="21"/>
      <c r="U44" s="20"/>
      <c r="V44" s="20"/>
      <c r="W44" s="27" t="str">
        <f aca="true">IF(OR(T44="",LEFT(O44,6)="Closed"),"",TODAY()-T44)</f>
        <v/>
      </c>
      <c r="X44" s="27" t="str">
        <f aca="true">IF(OR(S44="",LEFT(O44,6)="Closed"),"",IF(TODAY()&gt;S44,"Overdue",""))</f>
        <v/>
      </c>
    </row>
    <row r="45" customFormat="false" ht="15" hidden="false" customHeight="false" outlineLevel="0" collapsed="false">
      <c r="A45" s="20"/>
      <c r="B45" s="20"/>
      <c r="C45" s="20"/>
      <c r="D45" s="20"/>
      <c r="E45" s="20"/>
      <c r="F45" s="20"/>
      <c r="G45" s="20"/>
      <c r="H45" s="27" t="str">
        <f aca="false">IF(OR(F45="",G45=""),"",IFERROR(INDEX(Lists!$U$3:$Y$5,MATCH(F45,Lists!$T$3:$T$5,0),MATCH(G45,Lists!$U$2:$Y$2,0)),"Check inputs"))</f>
        <v/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1"/>
      <c r="T45" s="21"/>
      <c r="U45" s="20"/>
      <c r="V45" s="20"/>
      <c r="W45" s="27" t="str">
        <f aca="true">IF(OR(T45="",LEFT(O45,6)="Closed"),"",TODAY()-T45)</f>
        <v/>
      </c>
      <c r="X45" s="27" t="str">
        <f aca="true">IF(OR(S45="",LEFT(O45,6)="Closed"),"",IF(TODAY()&gt;S45,"Overdue",""))</f>
        <v/>
      </c>
    </row>
    <row r="46" customFormat="false" ht="15" hidden="false" customHeight="false" outlineLevel="0" collapsed="false">
      <c r="A46" s="20"/>
      <c r="B46" s="20"/>
      <c r="C46" s="20"/>
      <c r="D46" s="20"/>
      <c r="E46" s="20"/>
      <c r="F46" s="20"/>
      <c r="G46" s="20"/>
      <c r="H46" s="27" t="str">
        <f aca="false">IF(OR(F46="",G46=""),"",IFERROR(INDEX(Lists!$U$3:$Y$5,MATCH(F46,Lists!$T$3:$T$5,0),MATCH(G46,Lists!$U$2:$Y$2,0)),"Check inputs"))</f>
        <v/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1"/>
      <c r="T46" s="21"/>
      <c r="U46" s="20"/>
      <c r="V46" s="20"/>
      <c r="W46" s="27" t="str">
        <f aca="true">IF(OR(T46="",LEFT(O46,6)="Closed"),"",TODAY()-T46)</f>
        <v/>
      </c>
      <c r="X46" s="27" t="str">
        <f aca="true">IF(OR(S46="",LEFT(O46,6)="Closed"),"",IF(TODAY()&gt;S46,"Overdue",""))</f>
        <v/>
      </c>
    </row>
    <row r="47" customFormat="false" ht="15" hidden="false" customHeight="false" outlineLevel="0" collapsed="false">
      <c r="A47" s="20"/>
      <c r="B47" s="20"/>
      <c r="C47" s="20"/>
      <c r="D47" s="20"/>
      <c r="E47" s="20"/>
      <c r="F47" s="20"/>
      <c r="G47" s="20"/>
      <c r="H47" s="27" t="str">
        <f aca="false">IF(OR(F47="",G47=""),"",IFERROR(INDEX(Lists!$U$3:$Y$5,MATCH(F47,Lists!$T$3:$T$5,0),MATCH(G47,Lists!$U$2:$Y$2,0)),"Check inputs"))</f>
        <v/>
      </c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1"/>
      <c r="T47" s="21"/>
      <c r="U47" s="20"/>
      <c r="V47" s="20"/>
      <c r="W47" s="27" t="str">
        <f aca="true">IF(OR(T47="",LEFT(O47,6)="Closed"),"",TODAY()-T47)</f>
        <v/>
      </c>
      <c r="X47" s="27" t="str">
        <f aca="true">IF(OR(S47="",LEFT(O47,6)="Closed"),"",IF(TODAY()&gt;S47,"Overdue",""))</f>
        <v/>
      </c>
    </row>
    <row r="48" customFormat="false" ht="15" hidden="false" customHeight="false" outlineLevel="0" collapsed="false">
      <c r="A48" s="20"/>
      <c r="B48" s="20"/>
      <c r="C48" s="20"/>
      <c r="D48" s="20"/>
      <c r="E48" s="20"/>
      <c r="F48" s="20"/>
      <c r="G48" s="20"/>
      <c r="H48" s="27" t="str">
        <f aca="false">IF(OR(F48="",G48=""),"",IFERROR(INDEX(Lists!$U$3:$Y$5,MATCH(F48,Lists!$T$3:$T$5,0),MATCH(G48,Lists!$U$2:$Y$2,0)),"Check inputs"))</f>
        <v/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1"/>
      <c r="T48" s="21"/>
      <c r="U48" s="20"/>
      <c r="V48" s="20"/>
      <c r="W48" s="27" t="str">
        <f aca="true">IF(OR(T48="",LEFT(O48,6)="Closed"),"",TODAY()-T48)</f>
        <v/>
      </c>
      <c r="X48" s="27" t="str">
        <f aca="true">IF(OR(S48="",LEFT(O48,6)="Closed"),"",IF(TODAY()&gt;S48,"Overdue",""))</f>
        <v/>
      </c>
    </row>
    <row r="49" customFormat="false" ht="15" hidden="false" customHeight="false" outlineLevel="0" collapsed="false">
      <c r="A49" s="20"/>
      <c r="B49" s="20"/>
      <c r="C49" s="20"/>
      <c r="D49" s="20"/>
      <c r="E49" s="20"/>
      <c r="F49" s="20"/>
      <c r="G49" s="20"/>
      <c r="H49" s="27" t="str">
        <f aca="false">IF(OR(F49="",G49=""),"",IFERROR(INDEX(Lists!$U$3:$Y$5,MATCH(F49,Lists!$T$3:$T$5,0),MATCH(G49,Lists!$U$2:$Y$2,0)),"Check inputs"))</f>
        <v/>
      </c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1"/>
      <c r="T49" s="21"/>
      <c r="U49" s="20"/>
      <c r="V49" s="20"/>
      <c r="W49" s="27" t="str">
        <f aca="true">IF(OR(T49="",LEFT(O49,6)="Closed"),"",TODAY()-T49)</f>
        <v/>
      </c>
      <c r="X49" s="27" t="str">
        <f aca="true">IF(OR(S49="",LEFT(O49,6)="Closed"),"",IF(TODAY()&gt;S49,"Overdue",""))</f>
        <v/>
      </c>
    </row>
    <row r="50" customFormat="false" ht="15" hidden="false" customHeight="false" outlineLevel="0" collapsed="false">
      <c r="A50" s="20"/>
      <c r="B50" s="20"/>
      <c r="C50" s="20"/>
      <c r="D50" s="20"/>
      <c r="E50" s="20"/>
      <c r="F50" s="20"/>
      <c r="G50" s="20"/>
      <c r="H50" s="27" t="str">
        <f aca="false">IF(OR(F50="",G50=""),"",IFERROR(INDEX(Lists!$U$3:$Y$5,MATCH(F50,Lists!$T$3:$T$5,0),MATCH(G50,Lists!$U$2:$Y$2,0)),"Check inputs"))</f>
        <v/>
      </c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1"/>
      <c r="T50" s="21"/>
      <c r="U50" s="20"/>
      <c r="V50" s="20"/>
      <c r="W50" s="27" t="str">
        <f aca="true">IF(OR(T50="",LEFT(O50,6)="Closed"),"",TODAY()-T50)</f>
        <v/>
      </c>
      <c r="X50" s="27" t="str">
        <f aca="true">IF(OR(S50="",LEFT(O50,6)="Closed"),"",IF(TODAY()&gt;S50,"Overdue",""))</f>
        <v/>
      </c>
    </row>
    <row r="51" customFormat="false" ht="15" hidden="false" customHeight="false" outlineLevel="0" collapsed="false">
      <c r="A51" s="20"/>
      <c r="B51" s="20"/>
      <c r="C51" s="20"/>
      <c r="D51" s="20"/>
      <c r="E51" s="20"/>
      <c r="F51" s="20"/>
      <c r="G51" s="20"/>
      <c r="H51" s="27" t="str">
        <f aca="false">IF(OR(F51="",G51=""),"",IFERROR(INDEX(Lists!$U$3:$Y$5,MATCH(F51,Lists!$T$3:$T$5,0),MATCH(G51,Lists!$U$2:$Y$2,0)),"Check inputs"))</f>
        <v/>
      </c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1"/>
      <c r="T51" s="21"/>
      <c r="U51" s="20"/>
      <c r="V51" s="20"/>
      <c r="W51" s="27" t="str">
        <f aca="true">IF(OR(T51="",LEFT(O51,6)="Closed"),"",TODAY()-T51)</f>
        <v/>
      </c>
      <c r="X51" s="27" t="str">
        <f aca="true">IF(OR(S51="",LEFT(O51,6)="Closed"),"",IF(TODAY()&gt;S51,"Overdue",""))</f>
        <v/>
      </c>
    </row>
    <row r="52" customFormat="false" ht="15" hidden="false" customHeight="false" outlineLevel="0" collapsed="false">
      <c r="A52" s="20"/>
      <c r="B52" s="20"/>
      <c r="C52" s="20"/>
      <c r="D52" s="20"/>
      <c r="E52" s="20"/>
      <c r="F52" s="20"/>
      <c r="G52" s="20"/>
      <c r="H52" s="27" t="str">
        <f aca="false">IF(OR(F52="",G52=""),"",IFERROR(INDEX(Lists!$U$3:$Y$5,MATCH(F52,Lists!$T$3:$T$5,0),MATCH(G52,Lists!$U$2:$Y$2,0)),"Check inputs"))</f>
        <v/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1"/>
      <c r="T52" s="21"/>
      <c r="U52" s="20"/>
      <c r="V52" s="20"/>
      <c r="W52" s="27" t="str">
        <f aca="true">IF(OR(T52="",LEFT(O52,6)="Closed"),"",TODAY()-T52)</f>
        <v/>
      </c>
      <c r="X52" s="27" t="str">
        <f aca="true">IF(OR(S52="",LEFT(O52,6)="Closed"),"",IF(TODAY()&gt;S52,"Overdue",""))</f>
        <v/>
      </c>
    </row>
    <row r="53" customFormat="false" ht="15" hidden="false" customHeight="false" outlineLevel="0" collapsed="false">
      <c r="A53" s="20"/>
      <c r="B53" s="20"/>
      <c r="C53" s="20"/>
      <c r="D53" s="20"/>
      <c r="E53" s="20"/>
      <c r="F53" s="20"/>
      <c r="G53" s="20"/>
      <c r="H53" s="27" t="str">
        <f aca="false">IF(OR(F53="",G53=""),"",IFERROR(INDEX(Lists!$U$3:$Y$5,MATCH(F53,Lists!$T$3:$T$5,0),MATCH(G53,Lists!$U$2:$Y$2,0)),"Check inputs"))</f>
        <v/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1"/>
      <c r="T53" s="21"/>
      <c r="U53" s="20"/>
      <c r="V53" s="20"/>
      <c r="W53" s="27" t="str">
        <f aca="true">IF(OR(T53="",LEFT(O53,6)="Closed"),"",TODAY()-T53)</f>
        <v/>
      </c>
      <c r="X53" s="27" t="str">
        <f aca="true">IF(OR(S53="",LEFT(O53,6)="Closed"),"",IF(TODAY()&gt;S53,"Overdue",""))</f>
        <v/>
      </c>
    </row>
    <row r="54" customFormat="false" ht="15" hidden="false" customHeight="false" outlineLevel="0" collapsed="false">
      <c r="A54" s="20"/>
      <c r="B54" s="20"/>
      <c r="C54" s="20"/>
      <c r="D54" s="20"/>
      <c r="E54" s="20"/>
      <c r="F54" s="20"/>
      <c r="G54" s="20"/>
      <c r="H54" s="27" t="str">
        <f aca="false">IF(OR(F54="",G54=""),"",IFERROR(INDEX(Lists!$U$3:$Y$5,MATCH(F54,Lists!$T$3:$T$5,0),MATCH(G54,Lists!$U$2:$Y$2,0)),"Check inputs"))</f>
        <v/>
      </c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1"/>
      <c r="T54" s="21"/>
      <c r="U54" s="20"/>
      <c r="V54" s="20"/>
      <c r="W54" s="27" t="str">
        <f aca="true">IF(OR(T54="",LEFT(O54,6)="Closed"),"",TODAY()-T54)</f>
        <v/>
      </c>
      <c r="X54" s="27" t="str">
        <f aca="true">IF(OR(S54="",LEFT(O54,6)="Closed"),"",IF(TODAY()&gt;S54,"Overdue",""))</f>
        <v/>
      </c>
    </row>
    <row r="55" customFormat="false" ht="15" hidden="false" customHeight="false" outlineLevel="0" collapsed="false">
      <c r="A55" s="20"/>
      <c r="B55" s="20"/>
      <c r="C55" s="20"/>
      <c r="D55" s="20"/>
      <c r="E55" s="20"/>
      <c r="F55" s="20"/>
      <c r="G55" s="20"/>
      <c r="H55" s="27" t="str">
        <f aca="false">IF(OR(F55="",G55=""),"",IFERROR(INDEX(Lists!$U$3:$Y$5,MATCH(F55,Lists!$T$3:$T$5,0),MATCH(G55,Lists!$U$2:$Y$2,0)),"Check inputs"))</f>
        <v/>
      </c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1"/>
      <c r="T55" s="21"/>
      <c r="U55" s="20"/>
      <c r="V55" s="20"/>
      <c r="W55" s="27" t="str">
        <f aca="true">IF(OR(T55="",LEFT(O55,6)="Closed"),"",TODAY()-T55)</f>
        <v/>
      </c>
      <c r="X55" s="27" t="str">
        <f aca="true">IF(OR(S55="",LEFT(O55,6)="Closed"),"",IF(TODAY()&gt;S55,"Overdue",""))</f>
        <v/>
      </c>
    </row>
    <row r="56" customFormat="false" ht="15" hidden="false" customHeight="false" outlineLevel="0" collapsed="false">
      <c r="A56" s="20"/>
      <c r="B56" s="20"/>
      <c r="C56" s="20"/>
      <c r="D56" s="20"/>
      <c r="E56" s="20"/>
      <c r="F56" s="20"/>
      <c r="G56" s="20"/>
      <c r="H56" s="27" t="str">
        <f aca="false">IF(OR(F56="",G56=""),"",IFERROR(INDEX(Lists!$U$3:$Y$5,MATCH(F56,Lists!$T$3:$T$5,0),MATCH(G56,Lists!$U$2:$Y$2,0)),"Check inputs"))</f>
        <v/>
      </c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1"/>
      <c r="T56" s="21"/>
      <c r="U56" s="20"/>
      <c r="V56" s="20"/>
      <c r="W56" s="27" t="str">
        <f aca="true">IF(OR(T56="",LEFT(O56,6)="Closed"),"",TODAY()-T56)</f>
        <v/>
      </c>
      <c r="X56" s="27" t="str">
        <f aca="true">IF(OR(S56="",LEFT(O56,6)="Closed"),"",IF(TODAY()&gt;S56,"Overdue",""))</f>
        <v/>
      </c>
    </row>
    <row r="57" customFormat="false" ht="15" hidden="false" customHeight="false" outlineLevel="0" collapsed="false">
      <c r="A57" s="20"/>
      <c r="B57" s="20"/>
      <c r="C57" s="20"/>
      <c r="D57" s="20"/>
      <c r="E57" s="20"/>
      <c r="F57" s="20"/>
      <c r="G57" s="20"/>
      <c r="H57" s="27" t="str">
        <f aca="false">IF(OR(F57="",G57=""),"",IFERROR(INDEX(Lists!$U$3:$Y$5,MATCH(F57,Lists!$T$3:$T$5,0),MATCH(G57,Lists!$U$2:$Y$2,0)),"Check inputs"))</f>
        <v/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1"/>
      <c r="T57" s="21"/>
      <c r="U57" s="20"/>
      <c r="V57" s="20"/>
      <c r="W57" s="27" t="str">
        <f aca="true">IF(OR(T57="",LEFT(O57,6)="Closed"),"",TODAY()-T57)</f>
        <v/>
      </c>
      <c r="X57" s="27" t="str">
        <f aca="true">IF(OR(S57="",LEFT(O57,6)="Closed"),"",IF(TODAY()&gt;S57,"Overdue",""))</f>
        <v/>
      </c>
    </row>
    <row r="58" customFormat="false" ht="15" hidden="false" customHeight="false" outlineLevel="0" collapsed="false">
      <c r="A58" s="20"/>
      <c r="B58" s="20"/>
      <c r="C58" s="20"/>
      <c r="D58" s="20"/>
      <c r="E58" s="20"/>
      <c r="F58" s="20"/>
      <c r="G58" s="20"/>
      <c r="H58" s="27" t="str">
        <f aca="false">IF(OR(F58="",G58=""),"",IFERROR(INDEX(Lists!$U$3:$Y$5,MATCH(F58,Lists!$T$3:$T$5,0),MATCH(G58,Lists!$U$2:$Y$2,0)),"Check inputs"))</f>
        <v/>
      </c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1"/>
      <c r="T58" s="21"/>
      <c r="U58" s="20"/>
      <c r="V58" s="20"/>
      <c r="W58" s="27" t="str">
        <f aca="true">IF(OR(T58="",LEFT(O58,6)="Closed"),"",TODAY()-T58)</f>
        <v/>
      </c>
      <c r="X58" s="27" t="str">
        <f aca="true">IF(OR(S58="",LEFT(O58,6)="Closed"),"",IF(TODAY()&gt;S58,"Overdue",""))</f>
        <v/>
      </c>
    </row>
    <row r="59" customFormat="false" ht="15" hidden="false" customHeight="false" outlineLevel="0" collapsed="false">
      <c r="A59" s="20"/>
      <c r="B59" s="20"/>
      <c r="C59" s="20"/>
      <c r="D59" s="20"/>
      <c r="E59" s="20"/>
      <c r="F59" s="20"/>
      <c r="G59" s="20"/>
      <c r="H59" s="27" t="str">
        <f aca="false">IF(OR(F59="",G59=""),"",IFERROR(INDEX(Lists!$U$3:$Y$5,MATCH(F59,Lists!$T$3:$T$5,0),MATCH(G59,Lists!$U$2:$Y$2,0)),"Check inputs"))</f>
        <v/>
      </c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1"/>
      <c r="T59" s="21"/>
      <c r="U59" s="20"/>
      <c r="V59" s="20"/>
      <c r="W59" s="27" t="str">
        <f aca="true">IF(OR(T59="",LEFT(O59,6)="Closed"),"",TODAY()-T59)</f>
        <v/>
      </c>
      <c r="X59" s="27" t="str">
        <f aca="true">IF(OR(S59="",LEFT(O59,6)="Closed"),"",IF(TODAY()&gt;S59,"Overdue",""))</f>
        <v/>
      </c>
    </row>
    <row r="60" customFormat="false" ht="15" hidden="false" customHeight="false" outlineLevel="0" collapsed="false">
      <c r="A60" s="20"/>
      <c r="B60" s="20"/>
      <c r="C60" s="20"/>
      <c r="D60" s="20"/>
      <c r="E60" s="20"/>
      <c r="F60" s="20"/>
      <c r="G60" s="20"/>
      <c r="H60" s="27" t="str">
        <f aca="false">IF(OR(F60="",G60=""),"",IFERROR(INDEX(Lists!$U$3:$Y$5,MATCH(F60,Lists!$T$3:$T$5,0),MATCH(G60,Lists!$U$2:$Y$2,0)),"Check inputs"))</f>
        <v/>
      </c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1"/>
      <c r="T60" s="21"/>
      <c r="U60" s="20"/>
      <c r="V60" s="20"/>
      <c r="W60" s="27" t="str">
        <f aca="true">IF(OR(T60="",LEFT(O60,6)="Closed"),"",TODAY()-T60)</f>
        <v/>
      </c>
      <c r="X60" s="27" t="str">
        <f aca="true">IF(OR(S60="",LEFT(O60,6)="Closed"),"",IF(TODAY()&gt;S60,"Overdue",""))</f>
        <v/>
      </c>
    </row>
    <row r="61" customFormat="false" ht="15" hidden="false" customHeight="false" outlineLevel="0" collapsed="false">
      <c r="A61" s="20"/>
      <c r="B61" s="20"/>
      <c r="C61" s="20"/>
      <c r="D61" s="20"/>
      <c r="E61" s="20"/>
      <c r="F61" s="20"/>
      <c r="G61" s="20"/>
      <c r="H61" s="27" t="str">
        <f aca="false">IF(OR(F61="",G61=""),"",IFERROR(INDEX(Lists!$U$3:$Y$5,MATCH(F61,Lists!$T$3:$T$5,0),MATCH(G61,Lists!$U$2:$Y$2,0)),"Check inputs"))</f>
        <v/>
      </c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1"/>
      <c r="T61" s="21"/>
      <c r="U61" s="20"/>
      <c r="V61" s="20"/>
      <c r="W61" s="27" t="str">
        <f aca="true">IF(OR(T61="",LEFT(O61,6)="Closed"),"",TODAY()-T61)</f>
        <v/>
      </c>
      <c r="X61" s="27" t="str">
        <f aca="true">IF(OR(S61="",LEFT(O61,6)="Closed"),"",IF(TODAY()&gt;S61,"Overdue",""))</f>
        <v/>
      </c>
    </row>
    <row r="62" customFormat="false" ht="15" hidden="false" customHeight="false" outlineLevel="0" collapsed="false">
      <c r="A62" s="20"/>
      <c r="B62" s="20"/>
      <c r="C62" s="20"/>
      <c r="D62" s="20"/>
      <c r="E62" s="20"/>
      <c r="F62" s="20"/>
      <c r="G62" s="20"/>
      <c r="H62" s="27" t="str">
        <f aca="false">IF(OR(F62="",G62=""),"",IFERROR(INDEX(Lists!$U$3:$Y$5,MATCH(F62,Lists!$T$3:$T$5,0),MATCH(G62,Lists!$U$2:$Y$2,0)),"Check inputs"))</f>
        <v/>
      </c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1"/>
      <c r="T62" s="21"/>
      <c r="U62" s="20"/>
      <c r="V62" s="20"/>
      <c r="W62" s="27" t="str">
        <f aca="true">IF(OR(T62="",LEFT(O62,6)="Closed"),"",TODAY()-T62)</f>
        <v/>
      </c>
      <c r="X62" s="27" t="str">
        <f aca="true">IF(OR(S62="",LEFT(O62,6)="Closed"),"",IF(TODAY()&gt;S62,"Overdue",""))</f>
        <v/>
      </c>
    </row>
    <row r="63" customFormat="false" ht="15" hidden="false" customHeight="false" outlineLevel="0" collapsed="false">
      <c r="A63" s="20"/>
      <c r="B63" s="20"/>
      <c r="C63" s="20"/>
      <c r="D63" s="20"/>
      <c r="E63" s="20"/>
      <c r="F63" s="20"/>
      <c r="G63" s="20"/>
      <c r="H63" s="27" t="str">
        <f aca="false">IF(OR(F63="",G63=""),"",IFERROR(INDEX(Lists!$U$3:$Y$5,MATCH(F63,Lists!$T$3:$T$5,0),MATCH(G63,Lists!$U$2:$Y$2,0)),"Check inputs"))</f>
        <v/>
      </c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1"/>
      <c r="T63" s="21"/>
      <c r="U63" s="20"/>
      <c r="V63" s="20"/>
      <c r="W63" s="27" t="str">
        <f aca="true">IF(OR(T63="",LEFT(O63,6)="Closed"),"",TODAY()-T63)</f>
        <v/>
      </c>
      <c r="X63" s="27" t="str">
        <f aca="true">IF(OR(S63="",LEFT(O63,6)="Closed"),"",IF(TODAY()&gt;S63,"Overdue",""))</f>
        <v/>
      </c>
    </row>
    <row r="64" customFormat="false" ht="15" hidden="false" customHeight="false" outlineLevel="0" collapsed="false">
      <c r="A64" s="20"/>
      <c r="B64" s="20"/>
      <c r="C64" s="20"/>
      <c r="D64" s="20"/>
      <c r="E64" s="20"/>
      <c r="F64" s="20"/>
      <c r="G64" s="20"/>
      <c r="H64" s="27" t="str">
        <f aca="false">IF(OR(F64="",G64=""),"",IFERROR(INDEX(Lists!$U$3:$Y$5,MATCH(F64,Lists!$T$3:$T$5,0),MATCH(G64,Lists!$U$2:$Y$2,0)),"Check inputs"))</f>
        <v/>
      </c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1"/>
      <c r="T64" s="21"/>
      <c r="U64" s="20"/>
      <c r="V64" s="20"/>
      <c r="W64" s="27" t="str">
        <f aca="true">IF(OR(T64="",LEFT(O64,6)="Closed"),"",TODAY()-T64)</f>
        <v/>
      </c>
      <c r="X64" s="27" t="str">
        <f aca="true">IF(OR(S64="",LEFT(O64,6)="Closed"),"",IF(TODAY()&gt;S64,"Overdue",""))</f>
        <v/>
      </c>
    </row>
    <row r="65" customFormat="false" ht="15" hidden="false" customHeight="false" outlineLevel="0" collapsed="false">
      <c r="A65" s="20"/>
      <c r="B65" s="20"/>
      <c r="C65" s="20"/>
      <c r="D65" s="20"/>
      <c r="E65" s="20"/>
      <c r="F65" s="20"/>
      <c r="G65" s="20"/>
      <c r="H65" s="27" t="str">
        <f aca="false">IF(OR(F65="",G65=""),"",IFERROR(INDEX(Lists!$U$3:$Y$5,MATCH(F65,Lists!$T$3:$T$5,0),MATCH(G65,Lists!$U$2:$Y$2,0)),"Check inputs"))</f>
        <v/>
      </c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1"/>
      <c r="T65" s="21"/>
      <c r="U65" s="20"/>
      <c r="V65" s="20"/>
      <c r="W65" s="27" t="str">
        <f aca="true">IF(OR(T65="",LEFT(O65,6)="Closed"),"",TODAY()-T65)</f>
        <v/>
      </c>
      <c r="X65" s="27" t="str">
        <f aca="true">IF(OR(S65="",LEFT(O65,6)="Closed"),"",IF(TODAY()&gt;S65,"Overdue",""))</f>
        <v/>
      </c>
    </row>
    <row r="66" customFormat="false" ht="15" hidden="false" customHeight="false" outlineLevel="0" collapsed="false">
      <c r="A66" s="20"/>
      <c r="B66" s="20"/>
      <c r="C66" s="20"/>
      <c r="D66" s="20"/>
      <c r="E66" s="20"/>
      <c r="F66" s="20"/>
      <c r="G66" s="20"/>
      <c r="H66" s="27" t="str">
        <f aca="false">IF(OR(F66="",G66=""),"",IFERROR(INDEX(Lists!$U$3:$Y$5,MATCH(F66,Lists!$T$3:$T$5,0),MATCH(G66,Lists!$U$2:$Y$2,0)),"Check inputs"))</f>
        <v/>
      </c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1"/>
      <c r="T66" s="21"/>
      <c r="U66" s="20"/>
      <c r="V66" s="20"/>
      <c r="W66" s="27" t="str">
        <f aca="true">IF(OR(T66="",LEFT(O66,6)="Closed"),"",TODAY()-T66)</f>
        <v/>
      </c>
      <c r="X66" s="27" t="str">
        <f aca="true">IF(OR(S66="",LEFT(O66,6)="Closed"),"",IF(TODAY()&gt;S66,"Overdue",""))</f>
        <v/>
      </c>
    </row>
    <row r="67" customFormat="false" ht="15" hidden="false" customHeight="false" outlineLevel="0" collapsed="false">
      <c r="A67" s="20"/>
      <c r="B67" s="20"/>
      <c r="C67" s="20"/>
      <c r="D67" s="20"/>
      <c r="E67" s="20"/>
      <c r="F67" s="20"/>
      <c r="G67" s="20"/>
      <c r="H67" s="27" t="str">
        <f aca="false">IF(OR(F67="",G67=""),"",IFERROR(INDEX(Lists!$U$3:$Y$5,MATCH(F67,Lists!$T$3:$T$5,0),MATCH(G67,Lists!$U$2:$Y$2,0)),"Check inputs"))</f>
        <v/>
      </c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1"/>
      <c r="T67" s="21"/>
      <c r="U67" s="20"/>
      <c r="V67" s="20"/>
      <c r="W67" s="27" t="str">
        <f aca="true">IF(OR(T67="",LEFT(O67,6)="Closed"),"",TODAY()-T67)</f>
        <v/>
      </c>
      <c r="X67" s="27" t="str">
        <f aca="true">IF(OR(S67="",LEFT(O67,6)="Closed"),"",IF(TODAY()&gt;S67,"Overdue",""))</f>
        <v/>
      </c>
    </row>
    <row r="68" customFormat="false" ht="15" hidden="false" customHeight="false" outlineLevel="0" collapsed="false">
      <c r="A68" s="20"/>
      <c r="B68" s="20"/>
      <c r="C68" s="20"/>
      <c r="D68" s="20"/>
      <c r="E68" s="20"/>
      <c r="F68" s="20"/>
      <c r="G68" s="20"/>
      <c r="H68" s="27" t="str">
        <f aca="false">IF(OR(F68="",G68=""),"",IFERROR(INDEX(Lists!$U$3:$Y$5,MATCH(F68,Lists!$T$3:$T$5,0),MATCH(G68,Lists!$U$2:$Y$2,0)),"Check inputs"))</f>
        <v/>
      </c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1"/>
      <c r="T68" s="21"/>
      <c r="U68" s="20"/>
      <c r="V68" s="20"/>
      <c r="W68" s="27" t="str">
        <f aca="true">IF(OR(T68="",LEFT(O68,6)="Closed"),"",TODAY()-T68)</f>
        <v/>
      </c>
      <c r="X68" s="27" t="str">
        <f aca="true">IF(OR(S68="",LEFT(O68,6)="Closed"),"",IF(TODAY()&gt;S68,"Overdue",""))</f>
        <v/>
      </c>
    </row>
    <row r="69" customFormat="false" ht="15" hidden="false" customHeight="false" outlineLevel="0" collapsed="false">
      <c r="A69" s="20"/>
      <c r="B69" s="20"/>
      <c r="C69" s="20"/>
      <c r="D69" s="20"/>
      <c r="E69" s="20"/>
      <c r="F69" s="20"/>
      <c r="G69" s="20"/>
      <c r="H69" s="27" t="str">
        <f aca="false">IF(OR(F69="",G69=""),"",IFERROR(INDEX(Lists!$U$3:$Y$5,MATCH(F69,Lists!$T$3:$T$5,0),MATCH(G69,Lists!$U$2:$Y$2,0)),"Check inputs"))</f>
        <v/>
      </c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1"/>
      <c r="T69" s="21"/>
      <c r="U69" s="20"/>
      <c r="V69" s="20"/>
      <c r="W69" s="27" t="str">
        <f aca="true">IF(OR(T69="",LEFT(O69,6)="Closed"),"",TODAY()-T69)</f>
        <v/>
      </c>
      <c r="X69" s="27" t="str">
        <f aca="true">IF(OR(S69="",LEFT(O69,6)="Closed"),"",IF(TODAY()&gt;S69,"Overdue",""))</f>
        <v/>
      </c>
    </row>
    <row r="70" customFormat="false" ht="15" hidden="false" customHeight="false" outlineLevel="0" collapsed="false">
      <c r="A70" s="20"/>
      <c r="B70" s="20"/>
      <c r="C70" s="20"/>
      <c r="D70" s="20"/>
      <c r="E70" s="20"/>
      <c r="F70" s="20"/>
      <c r="G70" s="20"/>
      <c r="H70" s="27" t="str">
        <f aca="false">IF(OR(F70="",G70=""),"",IFERROR(INDEX(Lists!$U$3:$Y$5,MATCH(F70,Lists!$T$3:$T$5,0),MATCH(G70,Lists!$U$2:$Y$2,0)),"Check inputs"))</f>
        <v/>
      </c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1"/>
      <c r="T70" s="21"/>
      <c r="U70" s="20"/>
      <c r="V70" s="20"/>
      <c r="W70" s="27" t="str">
        <f aca="true">IF(OR(T70="",LEFT(O70,6)="Closed"),"",TODAY()-T70)</f>
        <v/>
      </c>
      <c r="X70" s="27" t="str">
        <f aca="true">IF(OR(S70="",LEFT(O70,6)="Closed"),"",IF(TODAY()&gt;S70,"Overdue",""))</f>
        <v/>
      </c>
    </row>
    <row r="71" customFormat="false" ht="15" hidden="false" customHeight="false" outlineLevel="0" collapsed="false">
      <c r="A71" s="20"/>
      <c r="B71" s="20"/>
      <c r="C71" s="20"/>
      <c r="D71" s="20"/>
      <c r="E71" s="20"/>
      <c r="F71" s="20"/>
      <c r="G71" s="20"/>
      <c r="H71" s="27" t="str">
        <f aca="false">IF(OR(F71="",G71=""),"",IFERROR(INDEX(Lists!$U$3:$Y$5,MATCH(F71,Lists!$T$3:$T$5,0),MATCH(G71,Lists!$U$2:$Y$2,0)),"Check inputs"))</f>
        <v/>
      </c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1"/>
      <c r="T71" s="21"/>
      <c r="U71" s="20"/>
      <c r="V71" s="20"/>
      <c r="W71" s="27" t="str">
        <f aca="true">IF(OR(T71="",LEFT(O71,6)="Closed"),"",TODAY()-T71)</f>
        <v/>
      </c>
      <c r="X71" s="27" t="str">
        <f aca="true">IF(OR(S71="",LEFT(O71,6)="Closed"),"",IF(TODAY()&gt;S71,"Overdue",""))</f>
        <v/>
      </c>
    </row>
    <row r="72" customFormat="false" ht="15" hidden="false" customHeight="false" outlineLevel="0" collapsed="false">
      <c r="A72" s="20"/>
      <c r="B72" s="20"/>
      <c r="C72" s="20"/>
      <c r="D72" s="20"/>
      <c r="E72" s="20"/>
      <c r="F72" s="20"/>
      <c r="G72" s="20"/>
      <c r="H72" s="27" t="str">
        <f aca="false">IF(OR(F72="",G72=""),"",IFERROR(INDEX(Lists!$U$3:$Y$5,MATCH(F72,Lists!$T$3:$T$5,0),MATCH(G72,Lists!$U$2:$Y$2,0)),"Check inputs"))</f>
        <v/>
      </c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1"/>
      <c r="T72" s="21"/>
      <c r="U72" s="20"/>
      <c r="V72" s="20"/>
      <c r="W72" s="27" t="str">
        <f aca="true">IF(OR(T72="",LEFT(O72,6)="Closed"),"",TODAY()-T72)</f>
        <v/>
      </c>
      <c r="X72" s="27" t="str">
        <f aca="true">IF(OR(S72="",LEFT(O72,6)="Closed"),"",IF(TODAY()&gt;S72,"Overdue",""))</f>
        <v/>
      </c>
    </row>
    <row r="73" customFormat="false" ht="15" hidden="false" customHeight="false" outlineLevel="0" collapsed="false">
      <c r="A73" s="20"/>
      <c r="B73" s="20"/>
      <c r="C73" s="20"/>
      <c r="D73" s="20"/>
      <c r="E73" s="20"/>
      <c r="F73" s="20"/>
      <c r="G73" s="20"/>
      <c r="H73" s="27" t="str">
        <f aca="false">IF(OR(F73="",G73=""),"",IFERROR(INDEX(Lists!$U$3:$Y$5,MATCH(F73,Lists!$T$3:$T$5,0),MATCH(G73,Lists!$U$2:$Y$2,0)),"Check inputs"))</f>
        <v/>
      </c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1"/>
      <c r="T73" s="21"/>
      <c r="U73" s="20"/>
      <c r="V73" s="20"/>
      <c r="W73" s="27" t="str">
        <f aca="true">IF(OR(T73="",LEFT(O73,6)="Closed"),"",TODAY()-T73)</f>
        <v/>
      </c>
      <c r="X73" s="27" t="str">
        <f aca="true">IF(OR(S73="",LEFT(O73,6)="Closed"),"",IF(TODAY()&gt;S73,"Overdue",""))</f>
        <v/>
      </c>
    </row>
    <row r="74" customFormat="false" ht="15" hidden="false" customHeight="false" outlineLevel="0" collapsed="false">
      <c r="A74" s="20"/>
      <c r="B74" s="20"/>
      <c r="C74" s="20"/>
      <c r="D74" s="20"/>
      <c r="E74" s="20"/>
      <c r="F74" s="20"/>
      <c r="G74" s="20"/>
      <c r="H74" s="27" t="str">
        <f aca="false">IF(OR(F74="",G74=""),"",IFERROR(INDEX(Lists!$U$3:$Y$5,MATCH(F74,Lists!$T$3:$T$5,0),MATCH(G74,Lists!$U$2:$Y$2,0)),"Check inputs"))</f>
        <v/>
      </c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1"/>
      <c r="T74" s="21"/>
      <c r="U74" s="20"/>
      <c r="V74" s="20"/>
      <c r="W74" s="27" t="str">
        <f aca="true">IF(OR(T74="",LEFT(O74,6)="Closed"),"",TODAY()-T74)</f>
        <v/>
      </c>
      <c r="X74" s="27" t="str">
        <f aca="true">IF(OR(S74="",LEFT(O74,6)="Closed"),"",IF(TODAY()&gt;S74,"Overdue",""))</f>
        <v/>
      </c>
    </row>
    <row r="75" customFormat="false" ht="15" hidden="false" customHeight="false" outlineLevel="0" collapsed="false">
      <c r="A75" s="20"/>
      <c r="B75" s="20"/>
      <c r="C75" s="20"/>
      <c r="D75" s="20"/>
      <c r="E75" s="20"/>
      <c r="F75" s="20"/>
      <c r="G75" s="20"/>
      <c r="H75" s="27" t="str">
        <f aca="false">IF(OR(F75="",G75=""),"",IFERROR(INDEX(Lists!$U$3:$Y$5,MATCH(F75,Lists!$T$3:$T$5,0),MATCH(G75,Lists!$U$2:$Y$2,0)),"Check inputs"))</f>
        <v/>
      </c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1"/>
      <c r="T75" s="21"/>
      <c r="U75" s="20"/>
      <c r="V75" s="20"/>
      <c r="W75" s="27" t="str">
        <f aca="true">IF(OR(T75="",LEFT(O75,6)="Closed"),"",TODAY()-T75)</f>
        <v/>
      </c>
      <c r="X75" s="27" t="str">
        <f aca="true">IF(OR(S75="",LEFT(O75,6)="Closed"),"",IF(TODAY()&gt;S75,"Overdue",""))</f>
        <v/>
      </c>
    </row>
    <row r="76" customFormat="false" ht="15" hidden="false" customHeight="false" outlineLevel="0" collapsed="false">
      <c r="A76" s="20"/>
      <c r="B76" s="20"/>
      <c r="C76" s="20"/>
      <c r="D76" s="20"/>
      <c r="E76" s="20"/>
      <c r="F76" s="20"/>
      <c r="G76" s="20"/>
      <c r="H76" s="27" t="str">
        <f aca="false">IF(OR(F76="",G76=""),"",IFERROR(INDEX(Lists!$U$3:$Y$5,MATCH(F76,Lists!$T$3:$T$5,0),MATCH(G76,Lists!$U$2:$Y$2,0)),"Check inputs"))</f>
        <v/>
      </c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1"/>
      <c r="T76" s="21"/>
      <c r="U76" s="20"/>
      <c r="V76" s="20"/>
      <c r="W76" s="27" t="str">
        <f aca="true">IF(OR(T76="",LEFT(O76,6)="Closed"),"",TODAY()-T76)</f>
        <v/>
      </c>
      <c r="X76" s="27" t="str">
        <f aca="true">IF(OR(S76="",LEFT(O76,6)="Closed"),"",IF(TODAY()&gt;S76,"Overdue",""))</f>
        <v/>
      </c>
    </row>
    <row r="77" customFormat="false" ht="15" hidden="false" customHeight="false" outlineLevel="0" collapsed="false">
      <c r="A77" s="20"/>
      <c r="B77" s="20"/>
      <c r="C77" s="20"/>
      <c r="D77" s="20"/>
      <c r="E77" s="20"/>
      <c r="F77" s="20"/>
      <c r="G77" s="20"/>
      <c r="H77" s="27" t="str">
        <f aca="false">IF(OR(F77="",G77=""),"",IFERROR(INDEX(Lists!$U$3:$Y$5,MATCH(F77,Lists!$T$3:$T$5,0),MATCH(G77,Lists!$U$2:$Y$2,0)),"Check inputs"))</f>
        <v/>
      </c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1"/>
      <c r="T77" s="21"/>
      <c r="U77" s="20"/>
      <c r="V77" s="20"/>
      <c r="W77" s="27" t="str">
        <f aca="true">IF(OR(T77="",LEFT(O77,6)="Closed"),"",TODAY()-T77)</f>
        <v/>
      </c>
      <c r="X77" s="27" t="str">
        <f aca="true">IF(OR(S77="",LEFT(O77,6)="Closed"),"",IF(TODAY()&gt;S77,"Overdue",""))</f>
        <v/>
      </c>
    </row>
    <row r="78" customFormat="false" ht="15" hidden="false" customHeight="false" outlineLevel="0" collapsed="false">
      <c r="A78" s="20"/>
      <c r="B78" s="20"/>
      <c r="C78" s="20"/>
      <c r="D78" s="20"/>
      <c r="E78" s="20"/>
      <c r="F78" s="20"/>
      <c r="G78" s="20"/>
      <c r="H78" s="27" t="str">
        <f aca="false">IF(OR(F78="",G78=""),"",IFERROR(INDEX(Lists!$U$3:$Y$5,MATCH(F78,Lists!$T$3:$T$5,0),MATCH(G78,Lists!$U$2:$Y$2,0)),"Check inputs"))</f>
        <v/>
      </c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1"/>
      <c r="T78" s="21"/>
      <c r="U78" s="20"/>
      <c r="V78" s="20"/>
      <c r="W78" s="27" t="str">
        <f aca="true">IF(OR(T78="",LEFT(O78,6)="Closed"),"",TODAY()-T78)</f>
        <v/>
      </c>
      <c r="X78" s="27" t="str">
        <f aca="true">IF(OR(S78="",LEFT(O78,6)="Closed"),"",IF(TODAY()&gt;S78,"Overdue",""))</f>
        <v/>
      </c>
    </row>
    <row r="79" customFormat="false" ht="15" hidden="false" customHeight="false" outlineLevel="0" collapsed="false">
      <c r="A79" s="20"/>
      <c r="B79" s="20"/>
      <c r="C79" s="20"/>
      <c r="D79" s="20"/>
      <c r="E79" s="20"/>
      <c r="F79" s="20"/>
      <c r="G79" s="20"/>
      <c r="H79" s="27" t="str">
        <f aca="false">IF(OR(F79="",G79=""),"",IFERROR(INDEX(Lists!$U$3:$Y$5,MATCH(F79,Lists!$T$3:$T$5,0),MATCH(G79,Lists!$U$2:$Y$2,0)),"Check inputs"))</f>
        <v/>
      </c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1"/>
      <c r="T79" s="21"/>
      <c r="U79" s="20"/>
      <c r="V79" s="20"/>
      <c r="W79" s="27" t="str">
        <f aca="true">IF(OR(T79="",LEFT(O79,6)="Closed"),"",TODAY()-T79)</f>
        <v/>
      </c>
      <c r="X79" s="27" t="str">
        <f aca="true">IF(OR(S79="",LEFT(O79,6)="Closed"),"",IF(TODAY()&gt;S79,"Overdue",""))</f>
        <v/>
      </c>
    </row>
    <row r="80" customFormat="false" ht="15" hidden="false" customHeight="false" outlineLevel="0" collapsed="false">
      <c r="A80" s="20"/>
      <c r="B80" s="20"/>
      <c r="C80" s="20"/>
      <c r="D80" s="20"/>
      <c r="E80" s="20"/>
      <c r="F80" s="20"/>
      <c r="G80" s="20"/>
      <c r="H80" s="27" t="str">
        <f aca="false">IF(OR(F80="",G80=""),"",IFERROR(INDEX(Lists!$U$3:$Y$5,MATCH(F80,Lists!$T$3:$T$5,0),MATCH(G80,Lists!$U$2:$Y$2,0)),"Check inputs"))</f>
        <v/>
      </c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1"/>
      <c r="T80" s="21"/>
      <c r="U80" s="20"/>
      <c r="V80" s="20"/>
      <c r="W80" s="27" t="str">
        <f aca="true">IF(OR(T80="",LEFT(O80,6)="Closed"),"",TODAY()-T80)</f>
        <v/>
      </c>
      <c r="X80" s="27" t="str">
        <f aca="true">IF(OR(S80="",LEFT(O80,6)="Closed"),"",IF(TODAY()&gt;S80,"Overdue",""))</f>
        <v/>
      </c>
    </row>
    <row r="81" customFormat="false" ht="15" hidden="false" customHeight="false" outlineLevel="0" collapsed="false">
      <c r="A81" s="20"/>
      <c r="B81" s="20"/>
      <c r="C81" s="20"/>
      <c r="D81" s="20"/>
      <c r="E81" s="20"/>
      <c r="F81" s="20"/>
      <c r="G81" s="20"/>
      <c r="H81" s="27" t="str">
        <f aca="false">IF(OR(F81="",G81=""),"",IFERROR(INDEX(Lists!$U$3:$Y$5,MATCH(F81,Lists!$T$3:$T$5,0),MATCH(G81,Lists!$U$2:$Y$2,0)),"Check inputs"))</f>
        <v/>
      </c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1"/>
      <c r="T81" s="21"/>
      <c r="U81" s="20"/>
      <c r="V81" s="20"/>
      <c r="W81" s="27" t="str">
        <f aca="true">IF(OR(T81="",LEFT(O81,6)="Closed"),"",TODAY()-T81)</f>
        <v/>
      </c>
      <c r="X81" s="27" t="str">
        <f aca="true">IF(OR(S81="",LEFT(O81,6)="Closed"),"",IF(TODAY()&gt;S81,"Overdue",""))</f>
        <v/>
      </c>
    </row>
    <row r="82" customFormat="false" ht="15" hidden="false" customHeight="false" outlineLevel="0" collapsed="false">
      <c r="A82" s="20"/>
      <c r="B82" s="20"/>
      <c r="C82" s="20"/>
      <c r="D82" s="20"/>
      <c r="E82" s="20"/>
      <c r="F82" s="20"/>
      <c r="G82" s="20"/>
      <c r="H82" s="27" t="str">
        <f aca="false">IF(OR(F82="",G82=""),"",IFERROR(INDEX(Lists!$U$3:$Y$5,MATCH(F82,Lists!$T$3:$T$5,0),MATCH(G82,Lists!$U$2:$Y$2,0)),"Check inputs"))</f>
        <v/>
      </c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1"/>
      <c r="T82" s="21"/>
      <c r="U82" s="20"/>
      <c r="V82" s="20"/>
      <c r="W82" s="27" t="str">
        <f aca="true">IF(OR(T82="",LEFT(O82,6)="Closed"),"",TODAY()-T82)</f>
        <v/>
      </c>
      <c r="X82" s="27" t="str">
        <f aca="true">IF(OR(S82="",LEFT(O82,6)="Closed"),"",IF(TODAY()&gt;S82,"Overdue",""))</f>
        <v/>
      </c>
    </row>
    <row r="83" customFormat="false" ht="15" hidden="false" customHeight="false" outlineLevel="0" collapsed="false">
      <c r="A83" s="20"/>
      <c r="B83" s="20"/>
      <c r="C83" s="20"/>
      <c r="D83" s="20"/>
      <c r="E83" s="20"/>
      <c r="F83" s="20"/>
      <c r="G83" s="20"/>
      <c r="H83" s="27" t="str">
        <f aca="false">IF(OR(F83="",G83=""),"",IFERROR(INDEX(Lists!$U$3:$Y$5,MATCH(F83,Lists!$T$3:$T$5,0),MATCH(G83,Lists!$U$2:$Y$2,0)),"Check inputs"))</f>
        <v/>
      </c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1"/>
      <c r="T83" s="21"/>
      <c r="U83" s="20"/>
      <c r="V83" s="20"/>
      <c r="W83" s="27" t="str">
        <f aca="true">IF(OR(T83="",LEFT(O83,6)="Closed"),"",TODAY()-T83)</f>
        <v/>
      </c>
      <c r="X83" s="27" t="str">
        <f aca="true">IF(OR(S83="",LEFT(O83,6)="Closed"),"",IF(TODAY()&gt;S83,"Overdue",""))</f>
        <v/>
      </c>
    </row>
    <row r="84" customFormat="false" ht="15" hidden="false" customHeight="false" outlineLevel="0" collapsed="false">
      <c r="A84" s="20"/>
      <c r="B84" s="20"/>
      <c r="C84" s="20"/>
      <c r="D84" s="20"/>
      <c r="E84" s="20"/>
      <c r="F84" s="20"/>
      <c r="G84" s="20"/>
      <c r="H84" s="27" t="str">
        <f aca="false">IF(OR(F84="",G84=""),"",IFERROR(INDEX(Lists!$U$3:$Y$5,MATCH(F84,Lists!$T$3:$T$5,0),MATCH(G84,Lists!$U$2:$Y$2,0)),"Check inputs"))</f>
        <v/>
      </c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1"/>
      <c r="T84" s="21"/>
      <c r="U84" s="20"/>
      <c r="V84" s="20"/>
      <c r="W84" s="27" t="str">
        <f aca="true">IF(OR(T84="",LEFT(O84,6)="Closed"),"",TODAY()-T84)</f>
        <v/>
      </c>
      <c r="X84" s="27" t="str">
        <f aca="true">IF(OR(S84="",LEFT(O84,6)="Closed"),"",IF(TODAY()&gt;S84,"Overdue",""))</f>
        <v/>
      </c>
    </row>
    <row r="85" customFormat="false" ht="15" hidden="false" customHeight="false" outlineLevel="0" collapsed="false">
      <c r="A85" s="20"/>
      <c r="B85" s="20"/>
      <c r="C85" s="20"/>
      <c r="D85" s="20"/>
      <c r="E85" s="20"/>
      <c r="F85" s="20"/>
      <c r="G85" s="20"/>
      <c r="H85" s="27" t="str">
        <f aca="false">IF(OR(F85="",G85=""),"",IFERROR(INDEX(Lists!$U$3:$Y$5,MATCH(F85,Lists!$T$3:$T$5,0),MATCH(G85,Lists!$U$2:$Y$2,0)),"Check inputs"))</f>
        <v/>
      </c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1"/>
      <c r="T85" s="21"/>
      <c r="U85" s="20"/>
      <c r="V85" s="20"/>
      <c r="W85" s="27" t="str">
        <f aca="true">IF(OR(T85="",LEFT(O85,6)="Closed"),"",TODAY()-T85)</f>
        <v/>
      </c>
      <c r="X85" s="27" t="str">
        <f aca="true">IF(OR(S85="",LEFT(O85,6)="Closed"),"",IF(TODAY()&gt;S85,"Overdue",""))</f>
        <v/>
      </c>
    </row>
    <row r="86" customFormat="false" ht="15" hidden="false" customHeight="false" outlineLevel="0" collapsed="false">
      <c r="A86" s="20"/>
      <c r="B86" s="20"/>
      <c r="C86" s="20"/>
      <c r="D86" s="20"/>
      <c r="E86" s="20"/>
      <c r="F86" s="20"/>
      <c r="G86" s="20"/>
      <c r="H86" s="27" t="str">
        <f aca="false">IF(OR(F86="",G86=""),"",IFERROR(INDEX(Lists!$U$3:$Y$5,MATCH(F86,Lists!$T$3:$T$5,0),MATCH(G86,Lists!$U$2:$Y$2,0)),"Check inputs"))</f>
        <v/>
      </c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1"/>
      <c r="T86" s="21"/>
      <c r="U86" s="20"/>
      <c r="V86" s="20"/>
      <c r="W86" s="27" t="str">
        <f aca="true">IF(OR(T86="",LEFT(O86,6)="Closed"),"",TODAY()-T86)</f>
        <v/>
      </c>
      <c r="X86" s="27" t="str">
        <f aca="true">IF(OR(S86="",LEFT(O86,6)="Closed"),"",IF(TODAY()&gt;S86,"Overdue",""))</f>
        <v/>
      </c>
    </row>
    <row r="87" customFormat="false" ht="15" hidden="false" customHeight="false" outlineLevel="0" collapsed="false">
      <c r="A87" s="20"/>
      <c r="B87" s="20"/>
      <c r="C87" s="20"/>
      <c r="D87" s="20"/>
      <c r="E87" s="20"/>
      <c r="F87" s="20"/>
      <c r="G87" s="20"/>
      <c r="H87" s="27" t="str">
        <f aca="false">IF(OR(F87="",G87=""),"",IFERROR(INDEX(Lists!$U$3:$Y$5,MATCH(F87,Lists!$T$3:$T$5,0),MATCH(G87,Lists!$U$2:$Y$2,0)),"Check inputs"))</f>
        <v/>
      </c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1"/>
      <c r="T87" s="21"/>
      <c r="U87" s="20"/>
      <c r="V87" s="20"/>
      <c r="W87" s="27" t="str">
        <f aca="true">IF(OR(T87="",LEFT(O87,6)="Closed"),"",TODAY()-T87)</f>
        <v/>
      </c>
      <c r="X87" s="27" t="str">
        <f aca="true">IF(OR(S87="",LEFT(O87,6)="Closed"),"",IF(TODAY()&gt;S87,"Overdue",""))</f>
        <v/>
      </c>
    </row>
    <row r="88" customFormat="false" ht="15" hidden="false" customHeight="false" outlineLevel="0" collapsed="false">
      <c r="A88" s="20"/>
      <c r="B88" s="20"/>
      <c r="C88" s="20"/>
      <c r="D88" s="20"/>
      <c r="E88" s="20"/>
      <c r="F88" s="20"/>
      <c r="G88" s="20"/>
      <c r="H88" s="27" t="str">
        <f aca="false">IF(OR(F88="",G88=""),"",IFERROR(INDEX(Lists!$U$3:$Y$5,MATCH(F88,Lists!$T$3:$T$5,0),MATCH(G88,Lists!$U$2:$Y$2,0)),"Check inputs"))</f>
        <v/>
      </c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1"/>
      <c r="T88" s="21"/>
      <c r="U88" s="20"/>
      <c r="V88" s="20"/>
      <c r="W88" s="27" t="str">
        <f aca="true">IF(OR(T88="",LEFT(O88,6)="Closed"),"",TODAY()-T88)</f>
        <v/>
      </c>
      <c r="X88" s="27" t="str">
        <f aca="true">IF(OR(S88="",LEFT(O88,6)="Closed"),"",IF(TODAY()&gt;S88,"Overdue",""))</f>
        <v/>
      </c>
    </row>
    <row r="89" customFormat="false" ht="15" hidden="false" customHeight="false" outlineLevel="0" collapsed="false">
      <c r="A89" s="20"/>
      <c r="B89" s="20"/>
      <c r="C89" s="20"/>
      <c r="D89" s="20"/>
      <c r="E89" s="20"/>
      <c r="F89" s="20"/>
      <c r="G89" s="20"/>
      <c r="H89" s="27" t="str">
        <f aca="false">IF(OR(F89="",G89=""),"",IFERROR(INDEX(Lists!$U$3:$Y$5,MATCH(F89,Lists!$T$3:$T$5,0),MATCH(G89,Lists!$U$2:$Y$2,0)),"Check inputs"))</f>
        <v/>
      </c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1"/>
      <c r="T89" s="21"/>
      <c r="U89" s="20"/>
      <c r="V89" s="20"/>
      <c r="W89" s="27" t="str">
        <f aca="true">IF(OR(T89="",LEFT(O89,6)="Closed"),"",TODAY()-T89)</f>
        <v/>
      </c>
      <c r="X89" s="27" t="str">
        <f aca="true">IF(OR(S89="",LEFT(O89,6)="Closed"),"",IF(TODAY()&gt;S89,"Overdue",""))</f>
        <v/>
      </c>
    </row>
    <row r="90" customFormat="false" ht="15" hidden="false" customHeight="false" outlineLevel="0" collapsed="false">
      <c r="A90" s="20"/>
      <c r="B90" s="20"/>
      <c r="C90" s="20"/>
      <c r="D90" s="20"/>
      <c r="E90" s="20"/>
      <c r="F90" s="20"/>
      <c r="G90" s="20"/>
      <c r="H90" s="27" t="str">
        <f aca="false">IF(OR(F90="",G90=""),"",IFERROR(INDEX(Lists!$U$3:$Y$5,MATCH(F90,Lists!$T$3:$T$5,0),MATCH(G90,Lists!$U$2:$Y$2,0)),"Check inputs"))</f>
        <v/>
      </c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1"/>
      <c r="T90" s="21"/>
      <c r="U90" s="20"/>
      <c r="V90" s="20"/>
      <c r="W90" s="27" t="str">
        <f aca="true">IF(OR(T90="",LEFT(O90,6)="Closed"),"",TODAY()-T90)</f>
        <v/>
      </c>
      <c r="X90" s="27" t="str">
        <f aca="true">IF(OR(S90="",LEFT(O90,6)="Closed"),"",IF(TODAY()&gt;S90,"Overdue",""))</f>
        <v/>
      </c>
    </row>
    <row r="91" customFormat="false" ht="15" hidden="false" customHeight="false" outlineLevel="0" collapsed="false">
      <c r="A91" s="20"/>
      <c r="B91" s="20"/>
      <c r="C91" s="20"/>
      <c r="D91" s="20"/>
      <c r="E91" s="20"/>
      <c r="F91" s="20"/>
      <c r="G91" s="20"/>
      <c r="H91" s="27" t="str">
        <f aca="false">IF(OR(F91="",G91=""),"",IFERROR(INDEX(Lists!$U$3:$Y$5,MATCH(F91,Lists!$T$3:$T$5,0),MATCH(G91,Lists!$U$2:$Y$2,0)),"Check inputs"))</f>
        <v/>
      </c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1"/>
      <c r="T91" s="21"/>
      <c r="U91" s="20"/>
      <c r="V91" s="20"/>
      <c r="W91" s="27" t="str">
        <f aca="true">IF(OR(T91="",LEFT(O91,6)="Closed"),"",TODAY()-T91)</f>
        <v/>
      </c>
      <c r="X91" s="27" t="str">
        <f aca="true">IF(OR(S91="",LEFT(O91,6)="Closed"),"",IF(TODAY()&gt;S91,"Overdue",""))</f>
        <v/>
      </c>
    </row>
    <row r="92" customFormat="false" ht="15" hidden="false" customHeight="false" outlineLevel="0" collapsed="false">
      <c r="A92" s="20"/>
      <c r="B92" s="20"/>
      <c r="C92" s="20"/>
      <c r="D92" s="20"/>
      <c r="E92" s="20"/>
      <c r="F92" s="20"/>
      <c r="G92" s="20"/>
      <c r="H92" s="27" t="str">
        <f aca="false">IF(OR(F92="",G92=""),"",IFERROR(INDEX(Lists!$U$3:$Y$5,MATCH(F92,Lists!$T$3:$T$5,0),MATCH(G92,Lists!$U$2:$Y$2,0)),"Check inputs"))</f>
        <v/>
      </c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1"/>
      <c r="T92" s="21"/>
      <c r="U92" s="20"/>
      <c r="V92" s="20"/>
      <c r="W92" s="27" t="str">
        <f aca="true">IF(OR(T92="",LEFT(O92,6)="Closed"),"",TODAY()-T92)</f>
        <v/>
      </c>
      <c r="X92" s="27" t="str">
        <f aca="true">IF(OR(S92="",LEFT(O92,6)="Closed"),"",IF(TODAY()&gt;S92,"Overdue",""))</f>
        <v/>
      </c>
    </row>
    <row r="93" customFormat="false" ht="15" hidden="false" customHeight="false" outlineLevel="0" collapsed="false">
      <c r="A93" s="20"/>
      <c r="B93" s="20"/>
      <c r="C93" s="20"/>
      <c r="D93" s="20"/>
      <c r="E93" s="20"/>
      <c r="F93" s="20"/>
      <c r="G93" s="20"/>
      <c r="H93" s="27" t="str">
        <f aca="false">IF(OR(F93="",G93=""),"",IFERROR(INDEX(Lists!$U$3:$Y$5,MATCH(F93,Lists!$T$3:$T$5,0),MATCH(G93,Lists!$U$2:$Y$2,0)),"Check inputs"))</f>
        <v/>
      </c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1"/>
      <c r="T93" s="21"/>
      <c r="U93" s="20"/>
      <c r="V93" s="20"/>
      <c r="W93" s="27" t="str">
        <f aca="true">IF(OR(T93="",LEFT(O93,6)="Closed"),"",TODAY()-T93)</f>
        <v/>
      </c>
      <c r="X93" s="27" t="str">
        <f aca="true">IF(OR(S93="",LEFT(O93,6)="Closed"),"",IF(TODAY()&gt;S93,"Overdue",""))</f>
        <v/>
      </c>
    </row>
    <row r="94" customFormat="false" ht="15" hidden="false" customHeight="false" outlineLevel="0" collapsed="false">
      <c r="A94" s="20"/>
      <c r="B94" s="20"/>
      <c r="C94" s="20"/>
      <c r="D94" s="20"/>
      <c r="E94" s="20"/>
      <c r="F94" s="20"/>
      <c r="G94" s="20"/>
      <c r="H94" s="27" t="str">
        <f aca="false">IF(OR(F94="",G94=""),"",IFERROR(INDEX(Lists!$U$3:$Y$5,MATCH(F94,Lists!$T$3:$T$5,0),MATCH(G94,Lists!$U$2:$Y$2,0)),"Check inputs"))</f>
        <v/>
      </c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1"/>
      <c r="T94" s="21"/>
      <c r="U94" s="20"/>
      <c r="V94" s="20"/>
      <c r="W94" s="27" t="str">
        <f aca="true">IF(OR(T94="",LEFT(O94,6)="Closed"),"",TODAY()-T94)</f>
        <v/>
      </c>
      <c r="X94" s="27" t="str">
        <f aca="true">IF(OR(S94="",LEFT(O94,6)="Closed"),"",IF(TODAY()&gt;S94,"Overdue",""))</f>
        <v/>
      </c>
    </row>
    <row r="95" customFormat="false" ht="15" hidden="false" customHeight="false" outlineLevel="0" collapsed="false">
      <c r="A95" s="20"/>
      <c r="B95" s="20"/>
      <c r="C95" s="20"/>
      <c r="D95" s="20"/>
      <c r="E95" s="20"/>
      <c r="F95" s="20"/>
      <c r="G95" s="20"/>
      <c r="H95" s="27" t="str">
        <f aca="false">IF(OR(F95="",G95=""),"",IFERROR(INDEX(Lists!$U$3:$Y$5,MATCH(F95,Lists!$T$3:$T$5,0),MATCH(G95,Lists!$U$2:$Y$2,0)),"Check inputs"))</f>
        <v/>
      </c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1"/>
      <c r="T95" s="21"/>
      <c r="U95" s="20"/>
      <c r="V95" s="20"/>
      <c r="W95" s="27" t="str">
        <f aca="true">IF(OR(T95="",LEFT(O95,6)="Closed"),"",TODAY()-T95)</f>
        <v/>
      </c>
      <c r="X95" s="27" t="str">
        <f aca="true">IF(OR(S95="",LEFT(O95,6)="Closed"),"",IF(TODAY()&gt;S95,"Overdue",""))</f>
        <v/>
      </c>
    </row>
    <row r="96" customFormat="false" ht="15" hidden="false" customHeight="false" outlineLevel="0" collapsed="false">
      <c r="A96" s="20"/>
      <c r="B96" s="20"/>
      <c r="C96" s="20"/>
      <c r="D96" s="20"/>
      <c r="E96" s="20"/>
      <c r="F96" s="20"/>
      <c r="G96" s="20"/>
      <c r="H96" s="27" t="str">
        <f aca="false">IF(OR(F96="",G96=""),"",IFERROR(INDEX(Lists!$U$3:$Y$5,MATCH(F96,Lists!$T$3:$T$5,0),MATCH(G96,Lists!$U$2:$Y$2,0)),"Check inputs"))</f>
        <v/>
      </c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1"/>
      <c r="T96" s="21"/>
      <c r="U96" s="20"/>
      <c r="V96" s="20"/>
      <c r="W96" s="27" t="str">
        <f aca="true">IF(OR(T96="",LEFT(O96,6)="Closed"),"",TODAY()-T96)</f>
        <v/>
      </c>
      <c r="X96" s="27" t="str">
        <f aca="true">IF(OR(S96="",LEFT(O96,6)="Closed"),"",IF(TODAY()&gt;S96,"Overdue",""))</f>
        <v/>
      </c>
    </row>
    <row r="97" customFormat="false" ht="15" hidden="false" customHeight="false" outlineLevel="0" collapsed="false">
      <c r="A97" s="20"/>
      <c r="B97" s="20"/>
      <c r="C97" s="20"/>
      <c r="D97" s="20"/>
      <c r="E97" s="20"/>
      <c r="F97" s="20"/>
      <c r="G97" s="20"/>
      <c r="H97" s="27" t="str">
        <f aca="false">IF(OR(F97="",G97=""),"",IFERROR(INDEX(Lists!$U$3:$Y$5,MATCH(F97,Lists!$T$3:$T$5,0),MATCH(G97,Lists!$U$2:$Y$2,0)),"Check inputs"))</f>
        <v/>
      </c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1"/>
      <c r="T97" s="21"/>
      <c r="U97" s="20"/>
      <c r="V97" s="20"/>
      <c r="W97" s="27" t="str">
        <f aca="true">IF(OR(T97="",LEFT(O97,6)="Closed"),"",TODAY()-T97)</f>
        <v/>
      </c>
      <c r="X97" s="27" t="str">
        <f aca="true">IF(OR(S97="",LEFT(O97,6)="Closed"),"",IF(TODAY()&gt;S97,"Overdue",""))</f>
        <v/>
      </c>
    </row>
    <row r="98" customFormat="false" ht="15" hidden="false" customHeight="false" outlineLevel="0" collapsed="false">
      <c r="A98" s="20"/>
      <c r="B98" s="20"/>
      <c r="C98" s="20"/>
      <c r="D98" s="20"/>
      <c r="E98" s="20"/>
      <c r="F98" s="20"/>
      <c r="G98" s="20"/>
      <c r="H98" s="27" t="str">
        <f aca="false">IF(OR(F98="",G98=""),"",IFERROR(INDEX(Lists!$U$3:$Y$5,MATCH(F98,Lists!$T$3:$T$5,0),MATCH(G98,Lists!$U$2:$Y$2,0)),"Check inputs"))</f>
        <v/>
      </c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1"/>
      <c r="T98" s="21"/>
      <c r="U98" s="20"/>
      <c r="V98" s="20"/>
      <c r="W98" s="27" t="str">
        <f aca="true">IF(OR(T98="",LEFT(O98,6)="Closed"),"",TODAY()-T98)</f>
        <v/>
      </c>
      <c r="X98" s="27" t="str">
        <f aca="true">IF(OR(S98="",LEFT(O98,6)="Closed"),"",IF(TODAY()&gt;S98,"Overdue",""))</f>
        <v/>
      </c>
    </row>
    <row r="99" customFormat="false" ht="15" hidden="false" customHeight="false" outlineLevel="0" collapsed="false">
      <c r="A99" s="20"/>
      <c r="B99" s="20"/>
      <c r="C99" s="20"/>
      <c r="D99" s="20"/>
      <c r="E99" s="20"/>
      <c r="F99" s="20"/>
      <c r="G99" s="20"/>
      <c r="H99" s="27" t="str">
        <f aca="false">IF(OR(F99="",G99=""),"",IFERROR(INDEX(Lists!$U$3:$Y$5,MATCH(F99,Lists!$T$3:$T$5,0),MATCH(G99,Lists!$U$2:$Y$2,0)),"Check inputs"))</f>
        <v/>
      </c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1"/>
      <c r="T99" s="21"/>
      <c r="U99" s="20"/>
      <c r="V99" s="20"/>
      <c r="W99" s="27" t="str">
        <f aca="true">IF(OR(T99="",LEFT(O99,6)="Closed"),"",TODAY()-T99)</f>
        <v/>
      </c>
      <c r="X99" s="27" t="str">
        <f aca="true">IF(OR(S99="",LEFT(O99,6)="Closed"),"",IF(TODAY()&gt;S99,"Overdue",""))</f>
        <v/>
      </c>
    </row>
    <row r="100" customFormat="false" ht="1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7" t="str">
        <f aca="false">IF(OR(F100="",G100=""),"",IFERROR(INDEX(Lists!$U$3:$Y$5,MATCH(F100,Lists!$T$3:$T$5,0),MATCH(G100,Lists!$U$2:$Y$2,0)),"Check inputs"))</f>
        <v/>
      </c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1"/>
      <c r="T100" s="21"/>
      <c r="U100" s="20"/>
      <c r="V100" s="20"/>
      <c r="W100" s="27" t="str">
        <f aca="true">IF(OR(T100="",LEFT(O100,6)="Closed"),"",TODAY()-T100)</f>
        <v/>
      </c>
      <c r="X100" s="27" t="str">
        <f aca="true">IF(OR(S100="",LEFT(O100,6)="Closed"),"",IF(TODAY()&gt;S100,"Overdue",""))</f>
        <v/>
      </c>
    </row>
    <row r="101" customFormat="false" ht="1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7" t="str">
        <f aca="false">IF(OR(F101="",G101=""),"",IFERROR(INDEX(Lists!$U$3:$Y$5,MATCH(F101,Lists!$T$3:$T$5,0),MATCH(G101,Lists!$U$2:$Y$2,0)),"Check inputs"))</f>
        <v/>
      </c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1"/>
      <c r="T101" s="21"/>
      <c r="U101" s="20"/>
      <c r="V101" s="20"/>
      <c r="W101" s="27" t="str">
        <f aca="true">IF(OR(T101="",LEFT(O101,6)="Closed"),"",TODAY()-T101)</f>
        <v/>
      </c>
      <c r="X101" s="27" t="str">
        <f aca="true">IF(OR(S101="",LEFT(O101,6)="Closed"),"",IF(TODAY()&gt;S101,"Overdue",""))</f>
        <v/>
      </c>
    </row>
    <row r="102" customFormat="false" ht="1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7" t="str">
        <f aca="false">IF(OR(F102="",G102=""),"",IFERROR(INDEX(Lists!$U$3:$Y$5,MATCH(F102,Lists!$T$3:$T$5,0),MATCH(G102,Lists!$U$2:$Y$2,0)),"Check inputs"))</f>
        <v/>
      </c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1"/>
      <c r="T102" s="21"/>
      <c r="U102" s="20"/>
      <c r="V102" s="20"/>
      <c r="W102" s="27" t="str">
        <f aca="true">IF(OR(T102="",LEFT(O102,6)="Closed"),"",TODAY()-T102)</f>
        <v/>
      </c>
      <c r="X102" s="27" t="str">
        <f aca="true">IF(OR(S102="",LEFT(O102,6)="Closed"),"",IF(TODAY()&gt;S102,"Overdue",""))</f>
        <v/>
      </c>
    </row>
    <row r="103" customFormat="false" ht="1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7" t="str">
        <f aca="false">IF(OR(F103="",G103=""),"",IFERROR(INDEX(Lists!$U$3:$Y$5,MATCH(F103,Lists!$T$3:$T$5,0),MATCH(G103,Lists!$U$2:$Y$2,0)),"Check inputs"))</f>
        <v/>
      </c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1"/>
      <c r="T103" s="21"/>
      <c r="U103" s="20"/>
      <c r="V103" s="20"/>
      <c r="W103" s="27" t="str">
        <f aca="true">IF(OR(T103="",LEFT(O103,6)="Closed"),"",TODAY()-T103)</f>
        <v/>
      </c>
      <c r="X103" s="27" t="str">
        <f aca="true">IF(OR(S103="",LEFT(O103,6)="Closed"),"",IF(TODAY()&gt;S103,"Overdue",""))</f>
        <v/>
      </c>
    </row>
    <row r="104" customFormat="false" ht="1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7" t="str">
        <f aca="false">IF(OR(F104="",G104=""),"",IFERROR(INDEX(Lists!$U$3:$Y$5,MATCH(F104,Lists!$T$3:$T$5,0),MATCH(G104,Lists!$U$2:$Y$2,0)),"Check inputs"))</f>
        <v/>
      </c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1"/>
      <c r="T104" s="21"/>
      <c r="U104" s="20"/>
      <c r="V104" s="20"/>
      <c r="W104" s="27" t="str">
        <f aca="true">IF(OR(T104="",LEFT(O104,6)="Closed"),"",TODAY()-T104)</f>
        <v/>
      </c>
      <c r="X104" s="27" t="str">
        <f aca="true">IF(OR(S104="",LEFT(O104,6)="Closed"),"",IF(TODAY()&gt;S104,"Overdue",""))</f>
        <v/>
      </c>
    </row>
    <row r="105" customFormat="false" ht="1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7" t="str">
        <f aca="false">IF(OR(F105="",G105=""),"",IFERROR(INDEX(Lists!$U$3:$Y$5,MATCH(F105,Lists!$T$3:$T$5,0),MATCH(G105,Lists!$U$2:$Y$2,0)),"Check inputs"))</f>
        <v/>
      </c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1"/>
      <c r="T105" s="21"/>
      <c r="U105" s="20"/>
      <c r="V105" s="20"/>
      <c r="W105" s="27" t="str">
        <f aca="true">IF(OR(T105="",LEFT(O105,6)="Closed"),"",TODAY()-T105)</f>
        <v/>
      </c>
      <c r="X105" s="27" t="str">
        <f aca="true">IF(OR(S105="",LEFT(O105,6)="Closed"),"",IF(TODAY()&gt;S105,"Overdue",""))</f>
        <v/>
      </c>
    </row>
    <row r="106" customFormat="false" ht="1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7" t="str">
        <f aca="false">IF(OR(F106="",G106=""),"",IFERROR(INDEX(Lists!$U$3:$Y$5,MATCH(F106,Lists!$T$3:$T$5,0),MATCH(G106,Lists!$U$2:$Y$2,0)),"Check inputs"))</f>
        <v/>
      </c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1"/>
      <c r="T106" s="21"/>
      <c r="U106" s="20"/>
      <c r="V106" s="20"/>
      <c r="W106" s="27" t="str">
        <f aca="true">IF(OR(T106="",LEFT(O106,6)="Closed"),"",TODAY()-T106)</f>
        <v/>
      </c>
      <c r="X106" s="27" t="str">
        <f aca="true">IF(OR(S106="",LEFT(O106,6)="Closed"),"",IF(TODAY()&gt;S106,"Overdue",""))</f>
        <v/>
      </c>
    </row>
    <row r="107" customFormat="false" ht="1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7" t="str">
        <f aca="false">IF(OR(F107="",G107=""),"",IFERROR(INDEX(Lists!$U$3:$Y$5,MATCH(F107,Lists!$T$3:$T$5,0),MATCH(G107,Lists!$U$2:$Y$2,0)),"Check inputs"))</f>
        <v/>
      </c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1"/>
      <c r="T107" s="21"/>
      <c r="U107" s="20"/>
      <c r="V107" s="20"/>
      <c r="W107" s="27" t="str">
        <f aca="true">IF(OR(T107="",LEFT(O107,6)="Closed"),"",TODAY()-T107)</f>
        <v/>
      </c>
      <c r="X107" s="27" t="str">
        <f aca="true">IF(OR(S107="",LEFT(O107,6)="Closed"),"",IF(TODAY()&gt;S107,"Overdue",""))</f>
        <v/>
      </c>
    </row>
    <row r="108" customFormat="false" ht="1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7" t="str">
        <f aca="false">IF(OR(F108="",G108=""),"",IFERROR(INDEX(Lists!$U$3:$Y$5,MATCH(F108,Lists!$T$3:$T$5,0),MATCH(G108,Lists!$U$2:$Y$2,0)),"Check inputs"))</f>
        <v/>
      </c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1"/>
      <c r="T108" s="21"/>
      <c r="U108" s="20"/>
      <c r="V108" s="20"/>
      <c r="W108" s="27" t="str">
        <f aca="true">IF(OR(T108="",LEFT(O108,6)="Closed"),"",TODAY()-T108)</f>
        <v/>
      </c>
      <c r="X108" s="27" t="str">
        <f aca="true">IF(OR(S108="",LEFT(O108,6)="Closed"),"",IF(TODAY()&gt;S108,"Overdue",""))</f>
        <v/>
      </c>
    </row>
    <row r="109" customFormat="false" ht="1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7" t="str">
        <f aca="false">IF(OR(F109="",G109=""),"",IFERROR(INDEX(Lists!$U$3:$Y$5,MATCH(F109,Lists!$T$3:$T$5,0),MATCH(G109,Lists!$U$2:$Y$2,0)),"Check inputs"))</f>
        <v/>
      </c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1"/>
      <c r="T109" s="21"/>
      <c r="U109" s="20"/>
      <c r="V109" s="20"/>
      <c r="W109" s="27" t="str">
        <f aca="true">IF(OR(T109="",LEFT(O109,6)="Closed"),"",TODAY()-T109)</f>
        <v/>
      </c>
      <c r="X109" s="27" t="str">
        <f aca="true">IF(OR(S109="",LEFT(O109,6)="Closed"),"",IF(TODAY()&gt;S109,"Overdue",""))</f>
        <v/>
      </c>
    </row>
    <row r="110" customFormat="false" ht="1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7" t="str">
        <f aca="false">IF(OR(F110="",G110=""),"",IFERROR(INDEX(Lists!$U$3:$Y$5,MATCH(F110,Lists!$T$3:$T$5,0),MATCH(G110,Lists!$U$2:$Y$2,0)),"Check inputs"))</f>
        <v/>
      </c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1"/>
      <c r="T110" s="21"/>
      <c r="U110" s="20"/>
      <c r="V110" s="20"/>
      <c r="W110" s="27" t="str">
        <f aca="true">IF(OR(T110="",LEFT(O110,6)="Closed"),"",TODAY()-T110)</f>
        <v/>
      </c>
      <c r="X110" s="27" t="str">
        <f aca="true">IF(OR(S110="",LEFT(O110,6)="Closed"),"",IF(TODAY()&gt;S110,"Overdue",""))</f>
        <v/>
      </c>
    </row>
    <row r="111" customFormat="false" ht="1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7" t="str">
        <f aca="false">IF(OR(F111="",G111=""),"",IFERROR(INDEX(Lists!$U$3:$Y$5,MATCH(F111,Lists!$T$3:$T$5,0),MATCH(G111,Lists!$U$2:$Y$2,0)),"Check inputs"))</f>
        <v/>
      </c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1"/>
      <c r="T111" s="21"/>
      <c r="U111" s="20"/>
      <c r="V111" s="20"/>
      <c r="W111" s="27" t="str">
        <f aca="true">IF(OR(T111="",LEFT(O111,6)="Closed"),"",TODAY()-T111)</f>
        <v/>
      </c>
      <c r="X111" s="27" t="str">
        <f aca="true">IF(OR(S111="",LEFT(O111,6)="Closed"),"",IF(TODAY()&gt;S111,"Overdue",""))</f>
        <v/>
      </c>
    </row>
    <row r="112" customFormat="false" ht="1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7" t="str">
        <f aca="false">IF(OR(F112="",G112=""),"",IFERROR(INDEX(Lists!$U$3:$Y$5,MATCH(F112,Lists!$T$3:$T$5,0),MATCH(G112,Lists!$U$2:$Y$2,0)),"Check inputs"))</f>
        <v/>
      </c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1"/>
      <c r="T112" s="21"/>
      <c r="U112" s="20"/>
      <c r="V112" s="20"/>
      <c r="W112" s="27" t="str">
        <f aca="true">IF(OR(T112="",LEFT(O112,6)="Closed"),"",TODAY()-T112)</f>
        <v/>
      </c>
      <c r="X112" s="27" t="str">
        <f aca="true">IF(OR(S112="",LEFT(O112,6)="Closed"),"",IF(TODAY()&gt;S112,"Overdue",""))</f>
        <v/>
      </c>
    </row>
    <row r="113" customFormat="false" ht="1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7" t="str">
        <f aca="false">IF(OR(F113="",G113=""),"",IFERROR(INDEX(Lists!$U$3:$Y$5,MATCH(F113,Lists!$T$3:$T$5,0),MATCH(G113,Lists!$U$2:$Y$2,0)),"Check inputs"))</f>
        <v/>
      </c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1"/>
      <c r="T113" s="21"/>
      <c r="U113" s="20"/>
      <c r="V113" s="20"/>
      <c r="W113" s="27" t="str">
        <f aca="true">IF(OR(T113="",LEFT(O113,6)="Closed"),"",TODAY()-T113)</f>
        <v/>
      </c>
      <c r="X113" s="27" t="str">
        <f aca="true">IF(OR(S113="",LEFT(O113,6)="Closed"),"",IF(TODAY()&gt;S113,"Overdue",""))</f>
        <v/>
      </c>
    </row>
    <row r="114" customFormat="false" ht="1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7" t="str">
        <f aca="false">IF(OR(F114="",G114=""),"",IFERROR(INDEX(Lists!$U$3:$Y$5,MATCH(F114,Lists!$T$3:$T$5,0),MATCH(G114,Lists!$U$2:$Y$2,0)),"Check inputs"))</f>
        <v/>
      </c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1"/>
      <c r="T114" s="21"/>
      <c r="U114" s="20"/>
      <c r="V114" s="20"/>
      <c r="W114" s="27" t="str">
        <f aca="true">IF(OR(T114="",LEFT(O114,6)="Closed"),"",TODAY()-T114)</f>
        <v/>
      </c>
      <c r="X114" s="27" t="str">
        <f aca="true">IF(OR(S114="",LEFT(O114,6)="Closed"),"",IF(TODAY()&gt;S114,"Overdue",""))</f>
        <v/>
      </c>
    </row>
    <row r="115" customFormat="false" ht="1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7" t="str">
        <f aca="false">IF(OR(F115="",G115=""),"",IFERROR(INDEX(Lists!$U$3:$Y$5,MATCH(F115,Lists!$T$3:$T$5,0),MATCH(G115,Lists!$U$2:$Y$2,0)),"Check inputs"))</f>
        <v/>
      </c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1"/>
      <c r="T115" s="21"/>
      <c r="U115" s="20"/>
      <c r="V115" s="20"/>
      <c r="W115" s="27" t="str">
        <f aca="true">IF(OR(T115="",LEFT(O115,6)="Closed"),"",TODAY()-T115)</f>
        <v/>
      </c>
      <c r="X115" s="27" t="str">
        <f aca="true">IF(OR(S115="",LEFT(O115,6)="Closed"),"",IF(TODAY()&gt;S115,"Overdue",""))</f>
        <v/>
      </c>
    </row>
    <row r="116" customFormat="false" ht="1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7" t="str">
        <f aca="false">IF(OR(F116="",G116=""),"",IFERROR(INDEX(Lists!$U$3:$Y$5,MATCH(F116,Lists!$T$3:$T$5,0),MATCH(G116,Lists!$U$2:$Y$2,0)),"Check inputs"))</f>
        <v/>
      </c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1"/>
      <c r="T116" s="21"/>
      <c r="U116" s="20"/>
      <c r="V116" s="20"/>
      <c r="W116" s="27" t="str">
        <f aca="true">IF(OR(T116="",LEFT(O116,6)="Closed"),"",TODAY()-T116)</f>
        <v/>
      </c>
      <c r="X116" s="27" t="str">
        <f aca="true">IF(OR(S116="",LEFT(O116,6)="Closed"),"",IF(TODAY()&gt;S116,"Overdue",""))</f>
        <v/>
      </c>
    </row>
    <row r="117" customFormat="false" ht="1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7" t="str">
        <f aca="false">IF(OR(F117="",G117=""),"",IFERROR(INDEX(Lists!$U$3:$Y$5,MATCH(F117,Lists!$T$3:$T$5,0),MATCH(G117,Lists!$U$2:$Y$2,0)),"Check inputs"))</f>
        <v/>
      </c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1"/>
      <c r="T117" s="21"/>
      <c r="U117" s="20"/>
      <c r="V117" s="20"/>
      <c r="W117" s="27" t="str">
        <f aca="true">IF(OR(T117="",LEFT(O117,6)="Closed"),"",TODAY()-T117)</f>
        <v/>
      </c>
      <c r="X117" s="27" t="str">
        <f aca="true">IF(OR(S117="",LEFT(O117,6)="Closed"),"",IF(TODAY()&gt;S117,"Overdue",""))</f>
        <v/>
      </c>
    </row>
    <row r="118" customFormat="false" ht="1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7" t="str">
        <f aca="false">IF(OR(F118="",G118=""),"",IFERROR(INDEX(Lists!$U$3:$Y$5,MATCH(F118,Lists!$T$3:$T$5,0),MATCH(G118,Lists!$U$2:$Y$2,0)),"Check inputs"))</f>
        <v/>
      </c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1"/>
      <c r="T118" s="21"/>
      <c r="U118" s="20"/>
      <c r="V118" s="20"/>
      <c r="W118" s="27" t="str">
        <f aca="true">IF(OR(T118="",LEFT(O118,6)="Closed"),"",TODAY()-T118)</f>
        <v/>
      </c>
      <c r="X118" s="27" t="str">
        <f aca="true">IF(OR(S118="",LEFT(O118,6)="Closed"),"",IF(TODAY()&gt;S118,"Overdue",""))</f>
        <v/>
      </c>
    </row>
    <row r="119" customFormat="false" ht="1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7" t="str">
        <f aca="false">IF(OR(F119="",G119=""),"",IFERROR(INDEX(Lists!$U$3:$Y$5,MATCH(F119,Lists!$T$3:$T$5,0),MATCH(G119,Lists!$U$2:$Y$2,0)),"Check inputs"))</f>
        <v/>
      </c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1"/>
      <c r="T119" s="21"/>
      <c r="U119" s="20"/>
      <c r="V119" s="20"/>
      <c r="W119" s="27" t="str">
        <f aca="true">IF(OR(T119="",LEFT(O119,6)="Closed"),"",TODAY()-T119)</f>
        <v/>
      </c>
      <c r="X119" s="27" t="str">
        <f aca="true">IF(OR(S119="",LEFT(O119,6)="Closed"),"",IF(TODAY()&gt;S119,"Overdue",""))</f>
        <v/>
      </c>
    </row>
    <row r="120" customFormat="false" ht="1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7" t="str">
        <f aca="false">IF(OR(F120="",G120=""),"",IFERROR(INDEX(Lists!$U$3:$Y$5,MATCH(F120,Lists!$T$3:$T$5,0),MATCH(G120,Lists!$U$2:$Y$2,0)),"Check inputs"))</f>
        <v/>
      </c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1"/>
      <c r="T120" s="21"/>
      <c r="U120" s="20"/>
      <c r="V120" s="20"/>
      <c r="W120" s="27" t="str">
        <f aca="true">IF(OR(T120="",LEFT(O120,6)="Closed"),"",TODAY()-T120)</f>
        <v/>
      </c>
      <c r="X120" s="27" t="str">
        <f aca="true">IF(OR(S120="",LEFT(O120,6)="Closed"),"",IF(TODAY()&gt;S120,"Overdue",""))</f>
        <v/>
      </c>
    </row>
    <row r="121" customFormat="false" ht="1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7" t="str">
        <f aca="false">IF(OR(F121="",G121=""),"",IFERROR(INDEX(Lists!$U$3:$Y$5,MATCH(F121,Lists!$T$3:$T$5,0),MATCH(G121,Lists!$U$2:$Y$2,0)),"Check inputs"))</f>
        <v/>
      </c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1"/>
      <c r="T121" s="21"/>
      <c r="U121" s="20"/>
      <c r="V121" s="20"/>
      <c r="W121" s="27" t="str">
        <f aca="true">IF(OR(T121="",LEFT(O121,6)="Closed"),"",TODAY()-T121)</f>
        <v/>
      </c>
      <c r="X121" s="27" t="str">
        <f aca="true">IF(OR(S121="",LEFT(O121,6)="Closed"),"",IF(TODAY()&gt;S121,"Overdue",""))</f>
        <v/>
      </c>
    </row>
    <row r="122" customFormat="false" ht="1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7" t="str">
        <f aca="false">IF(OR(F122="",G122=""),"",IFERROR(INDEX(Lists!$U$3:$Y$5,MATCH(F122,Lists!$T$3:$T$5,0),MATCH(G122,Lists!$U$2:$Y$2,0)),"Check inputs"))</f>
        <v/>
      </c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1"/>
      <c r="T122" s="21"/>
      <c r="U122" s="20"/>
      <c r="V122" s="20"/>
      <c r="W122" s="27" t="str">
        <f aca="true">IF(OR(T122="",LEFT(O122,6)="Closed"),"",TODAY()-T122)</f>
        <v/>
      </c>
      <c r="X122" s="27" t="str">
        <f aca="true">IF(OR(S122="",LEFT(O122,6)="Closed"),"",IF(TODAY()&gt;S122,"Overdue",""))</f>
        <v/>
      </c>
    </row>
    <row r="123" customFormat="false" ht="1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7" t="str">
        <f aca="false">IF(OR(F123="",G123=""),"",IFERROR(INDEX(Lists!$U$3:$Y$5,MATCH(F123,Lists!$T$3:$T$5,0),MATCH(G123,Lists!$U$2:$Y$2,0)),"Check inputs"))</f>
        <v/>
      </c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1"/>
      <c r="T123" s="21"/>
      <c r="U123" s="20"/>
      <c r="V123" s="20"/>
      <c r="W123" s="27" t="str">
        <f aca="true">IF(OR(T123="",LEFT(O123,6)="Closed"),"",TODAY()-T123)</f>
        <v/>
      </c>
      <c r="X123" s="27" t="str">
        <f aca="true">IF(OR(S123="",LEFT(O123,6)="Closed"),"",IF(TODAY()&gt;S123,"Overdue",""))</f>
        <v/>
      </c>
    </row>
    <row r="124" customFormat="false" ht="1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7" t="str">
        <f aca="false">IF(OR(F124="",G124=""),"",IFERROR(INDEX(Lists!$U$3:$Y$5,MATCH(F124,Lists!$T$3:$T$5,0),MATCH(G124,Lists!$U$2:$Y$2,0)),"Check inputs"))</f>
        <v/>
      </c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1"/>
      <c r="T124" s="21"/>
      <c r="U124" s="20"/>
      <c r="V124" s="20"/>
      <c r="W124" s="27" t="str">
        <f aca="true">IF(OR(T124="",LEFT(O124,6)="Closed"),"",TODAY()-T124)</f>
        <v/>
      </c>
      <c r="X124" s="27" t="str">
        <f aca="true">IF(OR(S124="",LEFT(O124,6)="Closed"),"",IF(TODAY()&gt;S124,"Overdue",""))</f>
        <v/>
      </c>
    </row>
    <row r="125" customFormat="false" ht="1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7" t="str">
        <f aca="false">IF(OR(F125="",G125=""),"",IFERROR(INDEX(Lists!$U$3:$Y$5,MATCH(F125,Lists!$T$3:$T$5,0),MATCH(G125,Lists!$U$2:$Y$2,0)),"Check inputs"))</f>
        <v/>
      </c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1"/>
      <c r="T125" s="21"/>
      <c r="U125" s="20"/>
      <c r="V125" s="20"/>
      <c r="W125" s="27" t="str">
        <f aca="true">IF(OR(T125="",LEFT(O125,6)="Closed"),"",TODAY()-T125)</f>
        <v/>
      </c>
      <c r="X125" s="27" t="str">
        <f aca="true">IF(OR(S125="",LEFT(O125,6)="Closed"),"",IF(TODAY()&gt;S125,"Overdue",""))</f>
        <v/>
      </c>
    </row>
    <row r="126" customFormat="false" ht="1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7" t="str">
        <f aca="false">IF(OR(F126="",G126=""),"",IFERROR(INDEX(Lists!$U$3:$Y$5,MATCH(F126,Lists!$T$3:$T$5,0),MATCH(G126,Lists!$U$2:$Y$2,0)),"Check inputs"))</f>
        <v/>
      </c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1"/>
      <c r="T126" s="21"/>
      <c r="U126" s="20"/>
      <c r="V126" s="20"/>
      <c r="W126" s="27" t="str">
        <f aca="true">IF(OR(T126="",LEFT(O126,6)="Closed"),"",TODAY()-T126)</f>
        <v/>
      </c>
      <c r="X126" s="27" t="str">
        <f aca="true">IF(OR(S126="",LEFT(O126,6)="Closed"),"",IF(TODAY()&gt;S126,"Overdue",""))</f>
        <v/>
      </c>
    </row>
    <row r="127" customFormat="false" ht="1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7" t="str">
        <f aca="false">IF(OR(F127="",G127=""),"",IFERROR(INDEX(Lists!$U$3:$Y$5,MATCH(F127,Lists!$T$3:$T$5,0),MATCH(G127,Lists!$U$2:$Y$2,0)),"Check inputs"))</f>
        <v/>
      </c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1"/>
      <c r="T127" s="21"/>
      <c r="U127" s="20"/>
      <c r="V127" s="20"/>
      <c r="W127" s="27" t="str">
        <f aca="true">IF(OR(T127="",LEFT(O127,6)="Closed"),"",TODAY()-T127)</f>
        <v/>
      </c>
      <c r="X127" s="27" t="str">
        <f aca="true">IF(OR(S127="",LEFT(O127,6)="Closed"),"",IF(TODAY()&gt;S127,"Overdue",""))</f>
        <v/>
      </c>
    </row>
    <row r="128" customFormat="false" ht="1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7" t="str">
        <f aca="false">IF(OR(F128="",G128=""),"",IFERROR(INDEX(Lists!$U$3:$Y$5,MATCH(F128,Lists!$T$3:$T$5,0),MATCH(G128,Lists!$U$2:$Y$2,0)),"Check inputs"))</f>
        <v/>
      </c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1"/>
      <c r="T128" s="21"/>
      <c r="U128" s="20"/>
      <c r="V128" s="20"/>
      <c r="W128" s="27" t="str">
        <f aca="true">IF(OR(T128="",LEFT(O128,6)="Closed"),"",TODAY()-T128)</f>
        <v/>
      </c>
      <c r="X128" s="27" t="str">
        <f aca="true">IF(OR(S128="",LEFT(O128,6)="Closed"),"",IF(TODAY()&gt;S128,"Overdue",""))</f>
        <v/>
      </c>
    </row>
    <row r="129" customFormat="false" ht="1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7" t="str">
        <f aca="false">IF(OR(F129="",G129=""),"",IFERROR(INDEX(Lists!$U$3:$Y$5,MATCH(F129,Lists!$T$3:$T$5,0),MATCH(G129,Lists!$U$2:$Y$2,0)),"Check inputs"))</f>
        <v/>
      </c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1"/>
      <c r="T129" s="21"/>
      <c r="U129" s="20"/>
      <c r="V129" s="20"/>
      <c r="W129" s="27" t="str">
        <f aca="true">IF(OR(T129="",LEFT(O129,6)="Closed"),"",TODAY()-T129)</f>
        <v/>
      </c>
      <c r="X129" s="27" t="str">
        <f aca="true">IF(OR(S129="",LEFT(O129,6)="Closed"),"",IF(TODAY()&gt;S129,"Overdue",""))</f>
        <v/>
      </c>
    </row>
    <row r="130" customFormat="false" ht="1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7" t="str">
        <f aca="false">IF(OR(F130="",G130=""),"",IFERROR(INDEX(Lists!$U$3:$Y$5,MATCH(F130,Lists!$T$3:$T$5,0),MATCH(G130,Lists!$U$2:$Y$2,0)),"Check inputs"))</f>
        <v/>
      </c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1"/>
      <c r="T130" s="21"/>
      <c r="U130" s="20"/>
      <c r="V130" s="20"/>
      <c r="W130" s="27" t="str">
        <f aca="true">IF(OR(T130="",LEFT(O130,6)="Closed"),"",TODAY()-T130)</f>
        <v/>
      </c>
      <c r="X130" s="27" t="str">
        <f aca="true">IF(OR(S130="",LEFT(O130,6)="Closed"),"",IF(TODAY()&gt;S130,"Overdue",""))</f>
        <v/>
      </c>
    </row>
    <row r="131" customFormat="false" ht="1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7" t="str">
        <f aca="false">IF(OR(F131="",G131=""),"",IFERROR(INDEX(Lists!$U$3:$Y$5,MATCH(F131,Lists!$T$3:$T$5,0),MATCH(G131,Lists!$U$2:$Y$2,0)),"Check inputs"))</f>
        <v/>
      </c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1"/>
      <c r="T131" s="21"/>
      <c r="U131" s="20"/>
      <c r="V131" s="20"/>
      <c r="W131" s="27" t="str">
        <f aca="true">IF(OR(T131="",LEFT(O131,6)="Closed"),"",TODAY()-T131)</f>
        <v/>
      </c>
      <c r="X131" s="27" t="str">
        <f aca="true">IF(OR(S131="",LEFT(O131,6)="Closed"),"",IF(TODAY()&gt;S131,"Overdue",""))</f>
        <v/>
      </c>
    </row>
    <row r="132" customFormat="false" ht="1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7" t="str">
        <f aca="false">IF(OR(F132="",G132=""),"",IFERROR(INDEX(Lists!$U$3:$Y$5,MATCH(F132,Lists!$T$3:$T$5,0),MATCH(G132,Lists!$U$2:$Y$2,0)),"Check inputs"))</f>
        <v/>
      </c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1"/>
      <c r="T132" s="21"/>
      <c r="U132" s="20"/>
      <c r="V132" s="20"/>
      <c r="W132" s="27" t="str">
        <f aca="true">IF(OR(T132="",LEFT(O132,6)="Closed"),"",TODAY()-T132)</f>
        <v/>
      </c>
      <c r="X132" s="27" t="str">
        <f aca="true">IF(OR(S132="",LEFT(O132,6)="Closed"),"",IF(TODAY()&gt;S132,"Overdue",""))</f>
        <v/>
      </c>
    </row>
    <row r="133" customFormat="false" ht="1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7" t="str">
        <f aca="false">IF(OR(F133="",G133=""),"",IFERROR(INDEX(Lists!$U$3:$Y$5,MATCH(F133,Lists!$T$3:$T$5,0),MATCH(G133,Lists!$U$2:$Y$2,0)),"Check inputs"))</f>
        <v/>
      </c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1"/>
      <c r="T133" s="21"/>
      <c r="U133" s="20"/>
      <c r="V133" s="20"/>
      <c r="W133" s="27" t="str">
        <f aca="true">IF(OR(T133="",LEFT(O133,6)="Closed"),"",TODAY()-T133)</f>
        <v/>
      </c>
      <c r="X133" s="27" t="str">
        <f aca="true">IF(OR(S133="",LEFT(O133,6)="Closed"),"",IF(TODAY()&gt;S133,"Overdue",""))</f>
        <v/>
      </c>
    </row>
    <row r="134" customFormat="false" ht="1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7" t="str">
        <f aca="false">IF(OR(F134="",G134=""),"",IFERROR(INDEX(Lists!$U$3:$Y$5,MATCH(F134,Lists!$T$3:$T$5,0),MATCH(G134,Lists!$U$2:$Y$2,0)),"Check inputs"))</f>
        <v/>
      </c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1"/>
      <c r="T134" s="21"/>
      <c r="U134" s="20"/>
      <c r="V134" s="20"/>
      <c r="W134" s="27" t="str">
        <f aca="true">IF(OR(T134="",LEFT(O134,6)="Closed"),"",TODAY()-T134)</f>
        <v/>
      </c>
      <c r="X134" s="27" t="str">
        <f aca="true">IF(OR(S134="",LEFT(O134,6)="Closed"),"",IF(TODAY()&gt;S134,"Overdue",""))</f>
        <v/>
      </c>
    </row>
    <row r="135" customFormat="false" ht="1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7" t="str">
        <f aca="false">IF(OR(F135="",G135=""),"",IFERROR(INDEX(Lists!$U$3:$Y$5,MATCH(F135,Lists!$T$3:$T$5,0),MATCH(G135,Lists!$U$2:$Y$2,0)),"Check inputs"))</f>
        <v/>
      </c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1"/>
      <c r="T135" s="21"/>
      <c r="U135" s="20"/>
      <c r="V135" s="20"/>
      <c r="W135" s="27" t="str">
        <f aca="true">IF(OR(T135="",LEFT(O135,6)="Closed"),"",TODAY()-T135)</f>
        <v/>
      </c>
      <c r="X135" s="27" t="str">
        <f aca="true">IF(OR(S135="",LEFT(O135,6)="Closed"),"",IF(TODAY()&gt;S135,"Overdue",""))</f>
        <v/>
      </c>
    </row>
    <row r="136" customFormat="false" ht="1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7" t="str">
        <f aca="false">IF(OR(F136="",G136=""),"",IFERROR(INDEX(Lists!$U$3:$Y$5,MATCH(F136,Lists!$T$3:$T$5,0),MATCH(G136,Lists!$U$2:$Y$2,0)),"Check inputs"))</f>
        <v/>
      </c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1"/>
      <c r="T136" s="21"/>
      <c r="U136" s="20"/>
      <c r="V136" s="20"/>
      <c r="W136" s="27" t="str">
        <f aca="true">IF(OR(T136="",LEFT(O136,6)="Closed"),"",TODAY()-T136)</f>
        <v/>
      </c>
      <c r="X136" s="27" t="str">
        <f aca="true">IF(OR(S136="",LEFT(O136,6)="Closed"),"",IF(TODAY()&gt;S136,"Overdue",""))</f>
        <v/>
      </c>
    </row>
    <row r="137" customFormat="false" ht="1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7" t="str">
        <f aca="false">IF(OR(F137="",G137=""),"",IFERROR(INDEX(Lists!$U$3:$Y$5,MATCH(F137,Lists!$T$3:$T$5,0),MATCH(G137,Lists!$U$2:$Y$2,0)),"Check inputs"))</f>
        <v/>
      </c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1"/>
      <c r="T137" s="21"/>
      <c r="U137" s="20"/>
      <c r="V137" s="20"/>
      <c r="W137" s="27" t="str">
        <f aca="true">IF(OR(T137="",LEFT(O137,6)="Closed"),"",TODAY()-T137)</f>
        <v/>
      </c>
      <c r="X137" s="27" t="str">
        <f aca="true">IF(OR(S137="",LEFT(O137,6)="Closed"),"",IF(TODAY()&gt;S137,"Overdue",""))</f>
        <v/>
      </c>
    </row>
    <row r="138" customFormat="false" ht="1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7" t="str">
        <f aca="false">IF(OR(F138="",G138=""),"",IFERROR(INDEX(Lists!$U$3:$Y$5,MATCH(F138,Lists!$T$3:$T$5,0),MATCH(G138,Lists!$U$2:$Y$2,0)),"Check inputs"))</f>
        <v/>
      </c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1"/>
      <c r="T138" s="21"/>
      <c r="U138" s="20"/>
      <c r="V138" s="20"/>
      <c r="W138" s="27" t="str">
        <f aca="true">IF(OR(T138="",LEFT(O138,6)="Closed"),"",TODAY()-T138)</f>
        <v/>
      </c>
      <c r="X138" s="27" t="str">
        <f aca="true">IF(OR(S138="",LEFT(O138,6)="Closed"),"",IF(TODAY()&gt;S138,"Overdue",""))</f>
        <v/>
      </c>
    </row>
    <row r="139" customFormat="false" ht="1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7" t="str">
        <f aca="false">IF(OR(F139="",G139=""),"",IFERROR(INDEX(Lists!$U$3:$Y$5,MATCH(F139,Lists!$T$3:$T$5,0),MATCH(G139,Lists!$U$2:$Y$2,0)),"Check inputs"))</f>
        <v/>
      </c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1"/>
      <c r="T139" s="21"/>
      <c r="U139" s="20"/>
      <c r="V139" s="20"/>
      <c r="W139" s="27" t="str">
        <f aca="true">IF(OR(T139="",LEFT(O139,6)="Closed"),"",TODAY()-T139)</f>
        <v/>
      </c>
      <c r="X139" s="27" t="str">
        <f aca="true">IF(OR(S139="",LEFT(O139,6)="Closed"),"",IF(TODAY()&gt;S139,"Overdue",""))</f>
        <v/>
      </c>
    </row>
    <row r="140" customFormat="false" ht="1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7" t="str">
        <f aca="false">IF(OR(F140="",G140=""),"",IFERROR(INDEX(Lists!$U$3:$Y$5,MATCH(F140,Lists!$T$3:$T$5,0),MATCH(G140,Lists!$U$2:$Y$2,0)),"Check inputs"))</f>
        <v/>
      </c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1"/>
      <c r="T140" s="21"/>
      <c r="U140" s="20"/>
      <c r="V140" s="20"/>
      <c r="W140" s="27" t="str">
        <f aca="true">IF(OR(T140="",LEFT(O140,6)="Closed"),"",TODAY()-T140)</f>
        <v/>
      </c>
      <c r="X140" s="27" t="str">
        <f aca="true">IF(OR(S140="",LEFT(O140,6)="Closed"),"",IF(TODAY()&gt;S140,"Overdue",""))</f>
        <v/>
      </c>
    </row>
    <row r="141" customFormat="false" ht="1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7" t="str">
        <f aca="false">IF(OR(F141="",G141=""),"",IFERROR(INDEX(Lists!$U$3:$Y$5,MATCH(F141,Lists!$T$3:$T$5,0),MATCH(G141,Lists!$U$2:$Y$2,0)),"Check inputs"))</f>
        <v/>
      </c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1"/>
      <c r="T141" s="21"/>
      <c r="U141" s="20"/>
      <c r="V141" s="20"/>
      <c r="W141" s="27" t="str">
        <f aca="true">IF(OR(T141="",LEFT(O141,6)="Closed"),"",TODAY()-T141)</f>
        <v/>
      </c>
      <c r="X141" s="27" t="str">
        <f aca="true">IF(OR(S141="",LEFT(O141,6)="Closed"),"",IF(TODAY()&gt;S141,"Overdue",""))</f>
        <v/>
      </c>
    </row>
    <row r="142" customFormat="false" ht="1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7" t="str">
        <f aca="false">IF(OR(F142="",G142=""),"",IFERROR(INDEX(Lists!$U$3:$Y$5,MATCH(F142,Lists!$T$3:$T$5,0),MATCH(G142,Lists!$U$2:$Y$2,0)),"Check inputs"))</f>
        <v/>
      </c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1"/>
      <c r="T142" s="21"/>
      <c r="U142" s="20"/>
      <c r="V142" s="20"/>
      <c r="W142" s="27" t="str">
        <f aca="true">IF(OR(T142="",LEFT(O142,6)="Closed"),"",TODAY()-T142)</f>
        <v/>
      </c>
      <c r="X142" s="27" t="str">
        <f aca="true">IF(OR(S142="",LEFT(O142,6)="Closed"),"",IF(TODAY()&gt;S142,"Overdue",""))</f>
        <v/>
      </c>
    </row>
    <row r="143" customFormat="false" ht="1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7" t="str">
        <f aca="false">IF(OR(F143="",G143=""),"",IFERROR(INDEX(Lists!$U$3:$Y$5,MATCH(F143,Lists!$T$3:$T$5,0),MATCH(G143,Lists!$U$2:$Y$2,0)),"Check inputs"))</f>
        <v/>
      </c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1"/>
      <c r="T143" s="21"/>
      <c r="U143" s="20"/>
      <c r="V143" s="20"/>
      <c r="W143" s="27" t="str">
        <f aca="true">IF(OR(T143="",LEFT(O143,6)="Closed"),"",TODAY()-T143)</f>
        <v/>
      </c>
      <c r="X143" s="27" t="str">
        <f aca="true">IF(OR(S143="",LEFT(O143,6)="Closed"),"",IF(TODAY()&gt;S143,"Overdue",""))</f>
        <v/>
      </c>
    </row>
    <row r="144" customFormat="false" ht="1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7" t="str">
        <f aca="false">IF(OR(F144="",G144=""),"",IFERROR(INDEX(Lists!$U$3:$Y$5,MATCH(F144,Lists!$T$3:$T$5,0),MATCH(G144,Lists!$U$2:$Y$2,0)),"Check inputs"))</f>
        <v/>
      </c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1"/>
      <c r="T144" s="21"/>
      <c r="U144" s="20"/>
      <c r="V144" s="20"/>
      <c r="W144" s="27" t="str">
        <f aca="true">IF(OR(T144="",LEFT(O144,6)="Closed"),"",TODAY()-T144)</f>
        <v/>
      </c>
      <c r="X144" s="27" t="str">
        <f aca="true">IF(OR(S144="",LEFT(O144,6)="Closed"),"",IF(TODAY()&gt;S144,"Overdue",""))</f>
        <v/>
      </c>
    </row>
    <row r="145" customFormat="false" ht="1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7" t="str">
        <f aca="false">IF(OR(F145="",G145=""),"",IFERROR(INDEX(Lists!$U$3:$Y$5,MATCH(F145,Lists!$T$3:$T$5,0),MATCH(G145,Lists!$U$2:$Y$2,0)),"Check inputs"))</f>
        <v/>
      </c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1"/>
      <c r="T145" s="21"/>
      <c r="U145" s="20"/>
      <c r="V145" s="20"/>
      <c r="W145" s="27" t="str">
        <f aca="true">IF(OR(T145="",LEFT(O145,6)="Closed"),"",TODAY()-T145)</f>
        <v/>
      </c>
      <c r="X145" s="27" t="str">
        <f aca="true">IF(OR(S145="",LEFT(O145,6)="Closed"),"",IF(TODAY()&gt;S145,"Overdue",""))</f>
        <v/>
      </c>
    </row>
    <row r="146" customFormat="false" ht="1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7" t="str">
        <f aca="false">IF(OR(F146="",G146=""),"",IFERROR(INDEX(Lists!$U$3:$Y$5,MATCH(F146,Lists!$T$3:$T$5,0),MATCH(G146,Lists!$U$2:$Y$2,0)),"Check inputs"))</f>
        <v/>
      </c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1"/>
      <c r="T146" s="21"/>
      <c r="U146" s="20"/>
      <c r="V146" s="20"/>
      <c r="W146" s="27" t="str">
        <f aca="true">IF(OR(T146="",LEFT(O146,6)="Closed"),"",TODAY()-T146)</f>
        <v/>
      </c>
      <c r="X146" s="27" t="str">
        <f aca="true">IF(OR(S146="",LEFT(O146,6)="Closed"),"",IF(TODAY()&gt;S146,"Overdue",""))</f>
        <v/>
      </c>
    </row>
    <row r="147" customFormat="false" ht="1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7" t="str">
        <f aca="false">IF(OR(F147="",G147=""),"",IFERROR(INDEX(Lists!$U$3:$Y$5,MATCH(F147,Lists!$T$3:$T$5,0),MATCH(G147,Lists!$U$2:$Y$2,0)),"Check inputs"))</f>
        <v/>
      </c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1"/>
      <c r="T147" s="21"/>
      <c r="U147" s="20"/>
      <c r="V147" s="20"/>
      <c r="W147" s="27" t="str">
        <f aca="true">IF(OR(T147="",LEFT(O147,6)="Closed"),"",TODAY()-T147)</f>
        <v/>
      </c>
      <c r="X147" s="27" t="str">
        <f aca="true">IF(OR(S147="",LEFT(O147,6)="Closed"),"",IF(TODAY()&gt;S147,"Overdue",""))</f>
        <v/>
      </c>
    </row>
    <row r="148" customFormat="false" ht="1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7" t="str">
        <f aca="false">IF(OR(F148="",G148=""),"",IFERROR(INDEX(Lists!$U$3:$Y$5,MATCH(F148,Lists!$T$3:$T$5,0),MATCH(G148,Lists!$U$2:$Y$2,0)),"Check inputs"))</f>
        <v/>
      </c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1"/>
      <c r="T148" s="21"/>
      <c r="U148" s="20"/>
      <c r="V148" s="20"/>
      <c r="W148" s="27" t="str">
        <f aca="true">IF(OR(T148="",LEFT(O148,6)="Closed"),"",TODAY()-T148)</f>
        <v/>
      </c>
      <c r="X148" s="27" t="str">
        <f aca="true">IF(OR(S148="",LEFT(O148,6)="Closed"),"",IF(TODAY()&gt;S148,"Overdue",""))</f>
        <v/>
      </c>
    </row>
    <row r="149" customFormat="false" ht="1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7" t="str">
        <f aca="false">IF(OR(F149="",G149=""),"",IFERROR(INDEX(Lists!$U$3:$Y$5,MATCH(F149,Lists!$T$3:$T$5,0),MATCH(G149,Lists!$U$2:$Y$2,0)),"Check inputs"))</f>
        <v/>
      </c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1"/>
      <c r="T149" s="21"/>
      <c r="U149" s="20"/>
      <c r="V149" s="20"/>
      <c r="W149" s="27" t="str">
        <f aca="true">IF(OR(T149="",LEFT(O149,6)="Closed"),"",TODAY()-T149)</f>
        <v/>
      </c>
      <c r="X149" s="27" t="str">
        <f aca="true">IF(OR(S149="",LEFT(O149,6)="Closed"),"",IF(TODAY()&gt;S149,"Overdue",""))</f>
        <v/>
      </c>
    </row>
    <row r="150" customFormat="false" ht="1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7" t="str">
        <f aca="false">IF(OR(F150="",G150=""),"",IFERROR(INDEX(Lists!$U$3:$Y$5,MATCH(F150,Lists!$T$3:$T$5,0),MATCH(G150,Lists!$U$2:$Y$2,0)),"Check inputs"))</f>
        <v/>
      </c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1"/>
      <c r="T150" s="21"/>
      <c r="U150" s="20"/>
      <c r="V150" s="20"/>
      <c r="W150" s="27" t="str">
        <f aca="true">IF(OR(T150="",LEFT(O150,6)="Closed"),"",TODAY()-T150)</f>
        <v/>
      </c>
      <c r="X150" s="27" t="str">
        <f aca="true">IF(OR(S150="",LEFT(O150,6)="Closed"),"",IF(TODAY()&gt;S150,"Overdue",""))</f>
        <v/>
      </c>
    </row>
    <row r="151" customFormat="false" ht="1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7" t="str">
        <f aca="false">IF(OR(F151="",G151=""),"",IFERROR(INDEX(Lists!$U$3:$Y$5,MATCH(F151,Lists!$T$3:$T$5,0),MATCH(G151,Lists!$U$2:$Y$2,0)),"Check inputs"))</f>
        <v/>
      </c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1"/>
      <c r="T151" s="21"/>
      <c r="U151" s="20"/>
      <c r="V151" s="20"/>
      <c r="W151" s="27" t="str">
        <f aca="true">IF(OR(T151="",LEFT(O151,6)="Closed"),"",TODAY()-T151)</f>
        <v/>
      </c>
      <c r="X151" s="27" t="str">
        <f aca="true">IF(OR(S151="",LEFT(O151,6)="Closed"),"",IF(TODAY()&gt;S151,"Overdue",""))</f>
        <v/>
      </c>
    </row>
    <row r="152" customFormat="false" ht="1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7" t="str">
        <f aca="false">IF(OR(F152="",G152=""),"",IFERROR(INDEX(Lists!$U$3:$Y$5,MATCH(F152,Lists!$T$3:$T$5,0),MATCH(G152,Lists!$U$2:$Y$2,0)),"Check inputs"))</f>
        <v/>
      </c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1"/>
      <c r="T152" s="21"/>
      <c r="U152" s="20"/>
      <c r="V152" s="20"/>
      <c r="W152" s="27" t="str">
        <f aca="true">IF(OR(T152="",LEFT(O152,6)="Closed"),"",TODAY()-T152)</f>
        <v/>
      </c>
      <c r="X152" s="27" t="str">
        <f aca="true">IF(OR(S152="",LEFT(O152,6)="Closed"),"",IF(TODAY()&gt;S152,"Overdue",""))</f>
        <v/>
      </c>
    </row>
    <row r="153" customFormat="false" ht="1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7" t="str">
        <f aca="false">IF(OR(F153="",G153=""),"",IFERROR(INDEX(Lists!$U$3:$Y$5,MATCH(F153,Lists!$T$3:$T$5,0),MATCH(G153,Lists!$U$2:$Y$2,0)),"Check inputs"))</f>
        <v/>
      </c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1"/>
      <c r="T153" s="21"/>
      <c r="U153" s="20"/>
      <c r="V153" s="20"/>
      <c r="W153" s="27" t="str">
        <f aca="true">IF(OR(T153="",LEFT(O153,6)="Closed"),"",TODAY()-T153)</f>
        <v/>
      </c>
      <c r="X153" s="27" t="str">
        <f aca="true">IF(OR(S153="",LEFT(O153,6)="Closed"),"",IF(TODAY()&gt;S153,"Overdue",""))</f>
        <v/>
      </c>
    </row>
    <row r="154" customFormat="false" ht="1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7" t="str">
        <f aca="false">IF(OR(F154="",G154=""),"",IFERROR(INDEX(Lists!$U$3:$Y$5,MATCH(F154,Lists!$T$3:$T$5,0),MATCH(G154,Lists!$U$2:$Y$2,0)),"Check inputs"))</f>
        <v/>
      </c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1"/>
      <c r="T154" s="21"/>
      <c r="U154" s="20"/>
      <c r="V154" s="20"/>
      <c r="W154" s="27" t="str">
        <f aca="true">IF(OR(T154="",LEFT(O154,6)="Closed"),"",TODAY()-T154)</f>
        <v/>
      </c>
      <c r="X154" s="27" t="str">
        <f aca="true">IF(OR(S154="",LEFT(O154,6)="Closed"),"",IF(TODAY()&gt;S154,"Overdue",""))</f>
        <v/>
      </c>
    </row>
    <row r="155" customFormat="false" ht="1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7" t="str">
        <f aca="false">IF(OR(F155="",G155=""),"",IFERROR(INDEX(Lists!$U$3:$Y$5,MATCH(F155,Lists!$T$3:$T$5,0),MATCH(G155,Lists!$U$2:$Y$2,0)),"Check inputs"))</f>
        <v/>
      </c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1"/>
      <c r="T155" s="21"/>
      <c r="U155" s="20"/>
      <c r="V155" s="20"/>
      <c r="W155" s="27" t="str">
        <f aca="true">IF(OR(T155="",LEFT(O155,6)="Closed"),"",TODAY()-T155)</f>
        <v/>
      </c>
      <c r="X155" s="27" t="str">
        <f aca="true">IF(OR(S155="",LEFT(O155,6)="Closed"),"",IF(TODAY()&gt;S155,"Overdue",""))</f>
        <v/>
      </c>
    </row>
    <row r="156" customFormat="false" ht="1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7" t="str">
        <f aca="false">IF(OR(F156="",G156=""),"",IFERROR(INDEX(Lists!$U$3:$Y$5,MATCH(F156,Lists!$T$3:$T$5,0),MATCH(G156,Lists!$U$2:$Y$2,0)),"Check inputs"))</f>
        <v/>
      </c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1"/>
      <c r="T156" s="21"/>
      <c r="U156" s="20"/>
      <c r="V156" s="20"/>
      <c r="W156" s="27" t="str">
        <f aca="true">IF(OR(T156="",LEFT(O156,6)="Closed"),"",TODAY()-T156)</f>
        <v/>
      </c>
      <c r="X156" s="27" t="str">
        <f aca="true">IF(OR(S156="",LEFT(O156,6)="Closed"),"",IF(TODAY()&gt;S156,"Overdue",""))</f>
        <v/>
      </c>
    </row>
    <row r="157" customFormat="false" ht="1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7" t="str">
        <f aca="false">IF(OR(F157="",G157=""),"",IFERROR(INDEX(Lists!$U$3:$Y$5,MATCH(F157,Lists!$T$3:$T$5,0),MATCH(G157,Lists!$U$2:$Y$2,0)),"Check inputs"))</f>
        <v/>
      </c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1"/>
      <c r="T157" s="21"/>
      <c r="U157" s="20"/>
      <c r="V157" s="20"/>
      <c r="W157" s="27" t="str">
        <f aca="true">IF(OR(T157="",LEFT(O157,6)="Closed"),"",TODAY()-T157)</f>
        <v/>
      </c>
      <c r="X157" s="27" t="str">
        <f aca="true">IF(OR(S157="",LEFT(O157,6)="Closed"),"",IF(TODAY()&gt;S157,"Overdue",""))</f>
        <v/>
      </c>
    </row>
    <row r="158" customFormat="false" ht="1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7" t="str">
        <f aca="false">IF(OR(F158="",G158=""),"",IFERROR(INDEX(Lists!$U$3:$Y$5,MATCH(F158,Lists!$T$3:$T$5,0),MATCH(G158,Lists!$U$2:$Y$2,0)),"Check inputs"))</f>
        <v/>
      </c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1"/>
      <c r="T158" s="21"/>
      <c r="U158" s="20"/>
      <c r="V158" s="20"/>
      <c r="W158" s="27" t="str">
        <f aca="true">IF(OR(T158="",LEFT(O158,6)="Closed"),"",TODAY()-T158)</f>
        <v/>
      </c>
      <c r="X158" s="27" t="str">
        <f aca="true">IF(OR(S158="",LEFT(O158,6)="Closed"),"",IF(TODAY()&gt;S158,"Overdue",""))</f>
        <v/>
      </c>
    </row>
    <row r="159" customFormat="false" ht="1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7" t="str">
        <f aca="false">IF(OR(F159="",G159=""),"",IFERROR(INDEX(Lists!$U$3:$Y$5,MATCH(F159,Lists!$T$3:$T$5,0),MATCH(G159,Lists!$U$2:$Y$2,0)),"Check inputs"))</f>
        <v/>
      </c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1"/>
      <c r="T159" s="21"/>
      <c r="U159" s="20"/>
      <c r="V159" s="20"/>
      <c r="W159" s="27" t="str">
        <f aca="true">IF(OR(T159="",LEFT(O159,6)="Closed"),"",TODAY()-T159)</f>
        <v/>
      </c>
      <c r="X159" s="27" t="str">
        <f aca="true">IF(OR(S159="",LEFT(O159,6)="Closed"),"",IF(TODAY()&gt;S159,"Overdue",""))</f>
        <v/>
      </c>
    </row>
    <row r="160" customFormat="false" ht="1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7" t="str">
        <f aca="false">IF(OR(F160="",G160=""),"",IFERROR(INDEX(Lists!$U$3:$Y$5,MATCH(F160,Lists!$T$3:$T$5,0),MATCH(G160,Lists!$U$2:$Y$2,0)),"Check inputs"))</f>
        <v/>
      </c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1"/>
      <c r="T160" s="21"/>
      <c r="U160" s="20"/>
      <c r="V160" s="20"/>
      <c r="W160" s="27" t="str">
        <f aca="true">IF(OR(T160="",LEFT(O160,6)="Closed"),"",TODAY()-T160)</f>
        <v/>
      </c>
      <c r="X160" s="27" t="str">
        <f aca="true">IF(OR(S160="",LEFT(O160,6)="Closed"),"",IF(TODAY()&gt;S160,"Overdue",""))</f>
        <v/>
      </c>
    </row>
    <row r="161" customFormat="false" ht="1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7" t="str">
        <f aca="false">IF(OR(F161="",G161=""),"",IFERROR(INDEX(Lists!$U$3:$Y$5,MATCH(F161,Lists!$T$3:$T$5,0),MATCH(G161,Lists!$U$2:$Y$2,0)),"Check inputs"))</f>
        <v/>
      </c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1"/>
      <c r="T161" s="21"/>
      <c r="U161" s="20"/>
      <c r="V161" s="20"/>
      <c r="W161" s="27" t="str">
        <f aca="true">IF(OR(T161="",LEFT(O161,6)="Closed"),"",TODAY()-T161)</f>
        <v/>
      </c>
      <c r="X161" s="27" t="str">
        <f aca="true">IF(OR(S161="",LEFT(O161,6)="Closed"),"",IF(TODAY()&gt;S161,"Overdue",""))</f>
        <v/>
      </c>
    </row>
    <row r="162" customFormat="false" ht="1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7" t="str">
        <f aca="false">IF(OR(F162="",G162=""),"",IFERROR(INDEX(Lists!$U$3:$Y$5,MATCH(F162,Lists!$T$3:$T$5,0),MATCH(G162,Lists!$U$2:$Y$2,0)),"Check inputs"))</f>
        <v/>
      </c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1"/>
      <c r="T162" s="21"/>
      <c r="U162" s="20"/>
      <c r="V162" s="20"/>
      <c r="W162" s="27" t="str">
        <f aca="true">IF(OR(T162="",LEFT(O162,6)="Closed"),"",TODAY()-T162)</f>
        <v/>
      </c>
      <c r="X162" s="27" t="str">
        <f aca="true">IF(OR(S162="",LEFT(O162,6)="Closed"),"",IF(TODAY()&gt;S162,"Overdue",""))</f>
        <v/>
      </c>
    </row>
    <row r="163" customFormat="false" ht="1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7" t="str">
        <f aca="false">IF(OR(F163="",G163=""),"",IFERROR(INDEX(Lists!$U$3:$Y$5,MATCH(F163,Lists!$T$3:$T$5,0),MATCH(G163,Lists!$U$2:$Y$2,0)),"Check inputs"))</f>
        <v/>
      </c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1"/>
      <c r="T163" s="21"/>
      <c r="U163" s="20"/>
      <c r="V163" s="20"/>
      <c r="W163" s="27" t="str">
        <f aca="true">IF(OR(T163="",LEFT(O163,6)="Closed"),"",TODAY()-T163)</f>
        <v/>
      </c>
      <c r="X163" s="27" t="str">
        <f aca="true">IF(OR(S163="",LEFT(O163,6)="Closed"),"",IF(TODAY()&gt;S163,"Overdue",""))</f>
        <v/>
      </c>
    </row>
    <row r="164" customFormat="false" ht="1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7" t="str">
        <f aca="false">IF(OR(F164="",G164=""),"",IFERROR(INDEX(Lists!$U$3:$Y$5,MATCH(F164,Lists!$T$3:$T$5,0),MATCH(G164,Lists!$U$2:$Y$2,0)),"Check inputs"))</f>
        <v/>
      </c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1"/>
      <c r="T164" s="21"/>
      <c r="U164" s="20"/>
      <c r="V164" s="20"/>
      <c r="W164" s="27" t="str">
        <f aca="true">IF(OR(T164="",LEFT(O164,6)="Closed"),"",TODAY()-T164)</f>
        <v/>
      </c>
      <c r="X164" s="27" t="str">
        <f aca="true">IF(OR(S164="",LEFT(O164,6)="Closed"),"",IF(TODAY()&gt;S164,"Overdue",""))</f>
        <v/>
      </c>
    </row>
    <row r="165" customFormat="false" ht="1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7" t="str">
        <f aca="false">IF(OR(F165="",G165=""),"",IFERROR(INDEX(Lists!$U$3:$Y$5,MATCH(F165,Lists!$T$3:$T$5,0),MATCH(G165,Lists!$U$2:$Y$2,0)),"Check inputs"))</f>
        <v/>
      </c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1"/>
      <c r="T165" s="21"/>
      <c r="U165" s="20"/>
      <c r="V165" s="20"/>
      <c r="W165" s="27" t="str">
        <f aca="true">IF(OR(T165="",LEFT(O165,6)="Closed"),"",TODAY()-T165)</f>
        <v/>
      </c>
      <c r="X165" s="27" t="str">
        <f aca="true">IF(OR(S165="",LEFT(O165,6)="Closed"),"",IF(TODAY()&gt;S165,"Overdue",""))</f>
        <v/>
      </c>
    </row>
    <row r="166" customFormat="false" ht="1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7" t="str">
        <f aca="false">IF(OR(F166="",G166=""),"",IFERROR(INDEX(Lists!$U$3:$Y$5,MATCH(F166,Lists!$T$3:$T$5,0),MATCH(G166,Lists!$U$2:$Y$2,0)),"Check inputs"))</f>
        <v/>
      </c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1"/>
      <c r="T166" s="21"/>
      <c r="U166" s="20"/>
      <c r="V166" s="20"/>
      <c r="W166" s="27" t="str">
        <f aca="true">IF(OR(T166="",LEFT(O166,6)="Closed"),"",TODAY()-T166)</f>
        <v/>
      </c>
      <c r="X166" s="27" t="str">
        <f aca="true">IF(OR(S166="",LEFT(O166,6)="Closed"),"",IF(TODAY()&gt;S166,"Overdue",""))</f>
        <v/>
      </c>
    </row>
    <row r="167" customFormat="false" ht="1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7" t="str">
        <f aca="false">IF(OR(F167="",G167=""),"",IFERROR(INDEX(Lists!$U$3:$Y$5,MATCH(F167,Lists!$T$3:$T$5,0),MATCH(G167,Lists!$U$2:$Y$2,0)),"Check inputs"))</f>
        <v/>
      </c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1"/>
      <c r="T167" s="21"/>
      <c r="U167" s="20"/>
      <c r="V167" s="20"/>
      <c r="W167" s="27" t="str">
        <f aca="true">IF(OR(T167="",LEFT(O167,6)="Closed"),"",TODAY()-T167)</f>
        <v/>
      </c>
      <c r="X167" s="27" t="str">
        <f aca="true">IF(OR(S167="",LEFT(O167,6)="Closed"),"",IF(TODAY()&gt;S167,"Overdue",""))</f>
        <v/>
      </c>
    </row>
    <row r="168" customFormat="false" ht="1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7" t="str">
        <f aca="false">IF(OR(F168="",G168=""),"",IFERROR(INDEX(Lists!$U$3:$Y$5,MATCH(F168,Lists!$T$3:$T$5,0),MATCH(G168,Lists!$U$2:$Y$2,0)),"Check inputs"))</f>
        <v/>
      </c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1"/>
      <c r="T168" s="21"/>
      <c r="U168" s="20"/>
      <c r="V168" s="20"/>
      <c r="W168" s="27" t="str">
        <f aca="true">IF(OR(T168="",LEFT(O168,6)="Closed"),"",TODAY()-T168)</f>
        <v/>
      </c>
      <c r="X168" s="27" t="str">
        <f aca="true">IF(OR(S168="",LEFT(O168,6)="Closed"),"",IF(TODAY()&gt;S168,"Overdue",""))</f>
        <v/>
      </c>
    </row>
    <row r="169" customFormat="false" ht="1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7" t="str">
        <f aca="false">IF(OR(F169="",G169=""),"",IFERROR(INDEX(Lists!$U$3:$Y$5,MATCH(F169,Lists!$T$3:$T$5,0),MATCH(G169,Lists!$U$2:$Y$2,0)),"Check inputs"))</f>
        <v/>
      </c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1"/>
      <c r="T169" s="21"/>
      <c r="U169" s="20"/>
      <c r="V169" s="20"/>
      <c r="W169" s="27" t="str">
        <f aca="true">IF(OR(T169="",LEFT(O169,6)="Closed"),"",TODAY()-T169)</f>
        <v/>
      </c>
      <c r="X169" s="27" t="str">
        <f aca="true">IF(OR(S169="",LEFT(O169,6)="Closed"),"",IF(TODAY()&gt;S169,"Overdue",""))</f>
        <v/>
      </c>
    </row>
    <row r="170" customFormat="false" ht="1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7" t="str">
        <f aca="false">IF(OR(F170="",G170=""),"",IFERROR(INDEX(Lists!$U$3:$Y$5,MATCH(F170,Lists!$T$3:$T$5,0),MATCH(G170,Lists!$U$2:$Y$2,0)),"Check inputs"))</f>
        <v/>
      </c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1"/>
      <c r="T170" s="21"/>
      <c r="U170" s="20"/>
      <c r="V170" s="20"/>
      <c r="W170" s="27" t="str">
        <f aca="true">IF(OR(T170="",LEFT(O170,6)="Closed"),"",TODAY()-T170)</f>
        <v/>
      </c>
      <c r="X170" s="27" t="str">
        <f aca="true">IF(OR(S170="",LEFT(O170,6)="Closed"),"",IF(TODAY()&gt;S170,"Overdue",""))</f>
        <v/>
      </c>
    </row>
    <row r="171" customFormat="false" ht="1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7" t="str">
        <f aca="false">IF(OR(F171="",G171=""),"",IFERROR(INDEX(Lists!$U$3:$Y$5,MATCH(F171,Lists!$T$3:$T$5,0),MATCH(G171,Lists!$U$2:$Y$2,0)),"Check inputs"))</f>
        <v/>
      </c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1"/>
      <c r="T171" s="21"/>
      <c r="U171" s="20"/>
      <c r="V171" s="20"/>
      <c r="W171" s="27" t="str">
        <f aca="true">IF(OR(T171="",LEFT(O171,6)="Closed"),"",TODAY()-T171)</f>
        <v/>
      </c>
      <c r="X171" s="27" t="str">
        <f aca="true">IF(OR(S171="",LEFT(O171,6)="Closed"),"",IF(TODAY()&gt;S171,"Overdue",""))</f>
        <v/>
      </c>
    </row>
    <row r="172" customFormat="false" ht="1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7" t="str">
        <f aca="false">IF(OR(F172="",G172=""),"",IFERROR(INDEX(Lists!$U$3:$Y$5,MATCH(F172,Lists!$T$3:$T$5,0),MATCH(G172,Lists!$U$2:$Y$2,0)),"Check inputs"))</f>
        <v/>
      </c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1"/>
      <c r="T172" s="21"/>
      <c r="U172" s="20"/>
      <c r="V172" s="20"/>
      <c r="W172" s="27" t="str">
        <f aca="true">IF(OR(T172="",LEFT(O172,6)="Closed"),"",TODAY()-T172)</f>
        <v/>
      </c>
      <c r="X172" s="27" t="str">
        <f aca="true">IF(OR(S172="",LEFT(O172,6)="Closed"),"",IF(TODAY()&gt;S172,"Overdue",""))</f>
        <v/>
      </c>
    </row>
    <row r="173" customFormat="false" ht="1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7" t="str">
        <f aca="false">IF(OR(F173="",G173=""),"",IFERROR(INDEX(Lists!$U$3:$Y$5,MATCH(F173,Lists!$T$3:$T$5,0),MATCH(G173,Lists!$U$2:$Y$2,0)),"Check inputs"))</f>
        <v/>
      </c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1"/>
      <c r="T173" s="21"/>
      <c r="U173" s="20"/>
      <c r="V173" s="20"/>
      <c r="W173" s="27" t="str">
        <f aca="true">IF(OR(T173="",LEFT(O173,6)="Closed"),"",TODAY()-T173)</f>
        <v/>
      </c>
      <c r="X173" s="27" t="str">
        <f aca="true">IF(OR(S173="",LEFT(O173,6)="Closed"),"",IF(TODAY()&gt;S173,"Overdue",""))</f>
        <v/>
      </c>
    </row>
    <row r="174" customFormat="false" ht="1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7" t="str">
        <f aca="false">IF(OR(F174="",G174=""),"",IFERROR(INDEX(Lists!$U$3:$Y$5,MATCH(F174,Lists!$T$3:$T$5,0),MATCH(G174,Lists!$U$2:$Y$2,0)),"Check inputs"))</f>
        <v/>
      </c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1"/>
      <c r="T174" s="21"/>
      <c r="U174" s="20"/>
      <c r="V174" s="20"/>
      <c r="W174" s="27" t="str">
        <f aca="true">IF(OR(T174="",LEFT(O174,6)="Closed"),"",TODAY()-T174)</f>
        <v/>
      </c>
      <c r="X174" s="27" t="str">
        <f aca="true">IF(OR(S174="",LEFT(O174,6)="Closed"),"",IF(TODAY()&gt;S174,"Overdue",""))</f>
        <v/>
      </c>
    </row>
    <row r="175" customFormat="false" ht="1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7" t="str">
        <f aca="false">IF(OR(F175="",G175=""),"",IFERROR(INDEX(Lists!$U$3:$Y$5,MATCH(F175,Lists!$T$3:$T$5,0),MATCH(G175,Lists!$U$2:$Y$2,0)),"Check inputs"))</f>
        <v/>
      </c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1"/>
      <c r="T175" s="21"/>
      <c r="U175" s="20"/>
      <c r="V175" s="20"/>
      <c r="W175" s="27" t="str">
        <f aca="true">IF(OR(T175="",LEFT(O175,6)="Closed"),"",TODAY()-T175)</f>
        <v/>
      </c>
      <c r="X175" s="27" t="str">
        <f aca="true">IF(OR(S175="",LEFT(O175,6)="Closed"),"",IF(TODAY()&gt;S175,"Overdue",""))</f>
        <v/>
      </c>
    </row>
    <row r="176" customFormat="false" ht="1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7" t="str">
        <f aca="false">IF(OR(F176="",G176=""),"",IFERROR(INDEX(Lists!$U$3:$Y$5,MATCH(F176,Lists!$T$3:$T$5,0),MATCH(G176,Lists!$U$2:$Y$2,0)),"Check inputs"))</f>
        <v/>
      </c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1"/>
      <c r="T176" s="21"/>
      <c r="U176" s="20"/>
      <c r="V176" s="20"/>
      <c r="W176" s="27" t="str">
        <f aca="true">IF(OR(T176="",LEFT(O176,6)="Closed"),"",TODAY()-T176)</f>
        <v/>
      </c>
      <c r="X176" s="27" t="str">
        <f aca="true">IF(OR(S176="",LEFT(O176,6)="Closed"),"",IF(TODAY()&gt;S176,"Overdue",""))</f>
        <v/>
      </c>
    </row>
    <row r="177" customFormat="false" ht="1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7" t="str">
        <f aca="false">IF(OR(F177="",G177=""),"",IFERROR(INDEX(Lists!$U$3:$Y$5,MATCH(F177,Lists!$T$3:$T$5,0),MATCH(G177,Lists!$U$2:$Y$2,0)),"Check inputs"))</f>
        <v/>
      </c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1"/>
      <c r="T177" s="21"/>
      <c r="U177" s="20"/>
      <c r="V177" s="20"/>
      <c r="W177" s="27" t="str">
        <f aca="true">IF(OR(T177="",LEFT(O177,6)="Closed"),"",TODAY()-T177)</f>
        <v/>
      </c>
      <c r="X177" s="27" t="str">
        <f aca="true">IF(OR(S177="",LEFT(O177,6)="Closed"),"",IF(TODAY()&gt;S177,"Overdue",""))</f>
        <v/>
      </c>
    </row>
    <row r="178" customFormat="false" ht="1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7" t="str">
        <f aca="false">IF(OR(F178="",G178=""),"",IFERROR(INDEX(Lists!$U$3:$Y$5,MATCH(F178,Lists!$T$3:$T$5,0),MATCH(G178,Lists!$U$2:$Y$2,0)),"Check inputs"))</f>
        <v/>
      </c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1"/>
      <c r="T178" s="21"/>
      <c r="U178" s="20"/>
      <c r="V178" s="20"/>
      <c r="W178" s="27" t="str">
        <f aca="true">IF(OR(T178="",LEFT(O178,6)="Closed"),"",TODAY()-T178)</f>
        <v/>
      </c>
      <c r="X178" s="27" t="str">
        <f aca="true">IF(OR(S178="",LEFT(O178,6)="Closed"),"",IF(TODAY()&gt;S178,"Overdue",""))</f>
        <v/>
      </c>
    </row>
    <row r="179" customFormat="false" ht="1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7" t="str">
        <f aca="false">IF(OR(F179="",G179=""),"",IFERROR(INDEX(Lists!$U$3:$Y$5,MATCH(F179,Lists!$T$3:$T$5,0),MATCH(G179,Lists!$U$2:$Y$2,0)),"Check inputs"))</f>
        <v/>
      </c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1"/>
      <c r="T179" s="21"/>
      <c r="U179" s="20"/>
      <c r="V179" s="20"/>
      <c r="W179" s="27" t="str">
        <f aca="true">IF(OR(T179="",LEFT(O179,6)="Closed"),"",TODAY()-T179)</f>
        <v/>
      </c>
      <c r="X179" s="27" t="str">
        <f aca="true">IF(OR(S179="",LEFT(O179,6)="Closed"),"",IF(TODAY()&gt;S179,"Overdue",""))</f>
        <v/>
      </c>
    </row>
    <row r="180" customFormat="false" ht="1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7" t="str">
        <f aca="false">IF(OR(F180="",G180=""),"",IFERROR(INDEX(Lists!$U$3:$Y$5,MATCH(F180,Lists!$T$3:$T$5,0),MATCH(G180,Lists!$U$2:$Y$2,0)),"Check inputs"))</f>
        <v/>
      </c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1"/>
      <c r="T180" s="21"/>
      <c r="U180" s="20"/>
      <c r="V180" s="20"/>
      <c r="W180" s="27" t="str">
        <f aca="true">IF(OR(T180="",LEFT(O180,6)="Closed"),"",TODAY()-T180)</f>
        <v/>
      </c>
      <c r="X180" s="27" t="str">
        <f aca="true">IF(OR(S180="",LEFT(O180,6)="Closed"),"",IF(TODAY()&gt;S180,"Overdue",""))</f>
        <v/>
      </c>
    </row>
    <row r="181" customFormat="false" ht="1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7" t="str">
        <f aca="false">IF(OR(F181="",G181=""),"",IFERROR(INDEX(Lists!$U$3:$Y$5,MATCH(F181,Lists!$T$3:$T$5,0),MATCH(G181,Lists!$U$2:$Y$2,0)),"Check inputs"))</f>
        <v/>
      </c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1"/>
      <c r="T181" s="21"/>
      <c r="U181" s="20"/>
      <c r="V181" s="20"/>
      <c r="W181" s="27" t="str">
        <f aca="true">IF(OR(T181="",LEFT(O181,6)="Closed"),"",TODAY()-T181)</f>
        <v/>
      </c>
      <c r="X181" s="27" t="str">
        <f aca="true">IF(OR(S181="",LEFT(O181,6)="Closed"),"",IF(TODAY()&gt;S181,"Overdue",""))</f>
        <v/>
      </c>
    </row>
    <row r="182" customFormat="false" ht="1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7" t="str">
        <f aca="false">IF(OR(F182="",G182=""),"",IFERROR(INDEX(Lists!$U$3:$Y$5,MATCH(F182,Lists!$T$3:$T$5,0),MATCH(G182,Lists!$U$2:$Y$2,0)),"Check inputs"))</f>
        <v/>
      </c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1"/>
      <c r="T182" s="21"/>
      <c r="U182" s="20"/>
      <c r="V182" s="20"/>
      <c r="W182" s="27" t="str">
        <f aca="true">IF(OR(T182="",LEFT(O182,6)="Closed"),"",TODAY()-T182)</f>
        <v/>
      </c>
      <c r="X182" s="27" t="str">
        <f aca="true">IF(OR(S182="",LEFT(O182,6)="Closed"),"",IF(TODAY()&gt;S182,"Overdue",""))</f>
        <v/>
      </c>
    </row>
    <row r="183" customFormat="false" ht="1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7" t="str">
        <f aca="false">IF(OR(F183="",G183=""),"",IFERROR(INDEX(Lists!$U$3:$Y$5,MATCH(F183,Lists!$T$3:$T$5,0),MATCH(G183,Lists!$U$2:$Y$2,0)),"Check inputs"))</f>
        <v/>
      </c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1"/>
      <c r="T183" s="21"/>
      <c r="U183" s="20"/>
      <c r="V183" s="20"/>
      <c r="W183" s="27" t="str">
        <f aca="true">IF(OR(T183="",LEFT(O183,6)="Closed"),"",TODAY()-T183)</f>
        <v/>
      </c>
      <c r="X183" s="27" t="str">
        <f aca="true">IF(OR(S183="",LEFT(O183,6)="Closed"),"",IF(TODAY()&gt;S183,"Overdue",""))</f>
        <v/>
      </c>
    </row>
    <row r="184" customFormat="false" ht="1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7" t="str">
        <f aca="false">IF(OR(F184="",G184=""),"",IFERROR(INDEX(Lists!$U$3:$Y$5,MATCH(F184,Lists!$T$3:$T$5,0),MATCH(G184,Lists!$U$2:$Y$2,0)),"Check inputs"))</f>
        <v/>
      </c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1"/>
      <c r="T184" s="21"/>
      <c r="U184" s="20"/>
      <c r="V184" s="20"/>
      <c r="W184" s="27" t="str">
        <f aca="true">IF(OR(T184="",LEFT(O184,6)="Closed"),"",TODAY()-T184)</f>
        <v/>
      </c>
      <c r="X184" s="27" t="str">
        <f aca="true">IF(OR(S184="",LEFT(O184,6)="Closed"),"",IF(TODAY()&gt;S184,"Overdue",""))</f>
        <v/>
      </c>
    </row>
    <row r="185" customFormat="false" ht="1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7" t="str">
        <f aca="false">IF(OR(F185="",G185=""),"",IFERROR(INDEX(Lists!$U$3:$Y$5,MATCH(F185,Lists!$T$3:$T$5,0),MATCH(G185,Lists!$U$2:$Y$2,0)),"Check inputs"))</f>
        <v/>
      </c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1"/>
      <c r="T185" s="21"/>
      <c r="U185" s="20"/>
      <c r="V185" s="20"/>
      <c r="W185" s="27" t="str">
        <f aca="true">IF(OR(T185="",LEFT(O185,6)="Closed"),"",TODAY()-T185)</f>
        <v/>
      </c>
      <c r="X185" s="27" t="str">
        <f aca="true">IF(OR(S185="",LEFT(O185,6)="Closed"),"",IF(TODAY()&gt;S185,"Overdue",""))</f>
        <v/>
      </c>
    </row>
    <row r="186" customFormat="false" ht="1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7" t="str">
        <f aca="false">IF(OR(F186="",G186=""),"",IFERROR(INDEX(Lists!$U$3:$Y$5,MATCH(F186,Lists!$T$3:$T$5,0),MATCH(G186,Lists!$U$2:$Y$2,0)),"Check inputs"))</f>
        <v/>
      </c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1"/>
      <c r="T186" s="21"/>
      <c r="U186" s="20"/>
      <c r="V186" s="20"/>
      <c r="W186" s="27" t="str">
        <f aca="true">IF(OR(T186="",LEFT(O186,6)="Closed"),"",TODAY()-T186)</f>
        <v/>
      </c>
      <c r="X186" s="27" t="str">
        <f aca="true">IF(OR(S186="",LEFT(O186,6)="Closed"),"",IF(TODAY()&gt;S186,"Overdue",""))</f>
        <v/>
      </c>
    </row>
    <row r="187" customFormat="false" ht="1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7" t="str">
        <f aca="false">IF(OR(F187="",G187=""),"",IFERROR(INDEX(Lists!$U$3:$Y$5,MATCH(F187,Lists!$T$3:$T$5,0),MATCH(G187,Lists!$U$2:$Y$2,0)),"Check inputs"))</f>
        <v/>
      </c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1"/>
      <c r="T187" s="21"/>
      <c r="U187" s="20"/>
      <c r="V187" s="20"/>
      <c r="W187" s="27" t="str">
        <f aca="true">IF(OR(T187="",LEFT(O187,6)="Closed"),"",TODAY()-T187)</f>
        <v/>
      </c>
      <c r="X187" s="27" t="str">
        <f aca="true">IF(OR(S187="",LEFT(O187,6)="Closed"),"",IF(TODAY()&gt;S187,"Overdue",""))</f>
        <v/>
      </c>
    </row>
    <row r="188" customFormat="false" ht="1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7" t="str">
        <f aca="false">IF(OR(F188="",G188=""),"",IFERROR(INDEX(Lists!$U$3:$Y$5,MATCH(F188,Lists!$T$3:$T$5,0),MATCH(G188,Lists!$U$2:$Y$2,0)),"Check inputs"))</f>
        <v/>
      </c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1"/>
      <c r="T188" s="21"/>
      <c r="U188" s="20"/>
      <c r="V188" s="20"/>
      <c r="W188" s="27" t="str">
        <f aca="true">IF(OR(T188="",LEFT(O188,6)="Closed"),"",TODAY()-T188)</f>
        <v/>
      </c>
      <c r="X188" s="27" t="str">
        <f aca="true">IF(OR(S188="",LEFT(O188,6)="Closed"),"",IF(TODAY()&gt;S188,"Overdue",""))</f>
        <v/>
      </c>
    </row>
    <row r="189" customFormat="false" ht="1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7" t="str">
        <f aca="false">IF(OR(F189="",G189=""),"",IFERROR(INDEX(Lists!$U$3:$Y$5,MATCH(F189,Lists!$T$3:$T$5,0),MATCH(G189,Lists!$U$2:$Y$2,0)),"Check inputs"))</f>
        <v/>
      </c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1"/>
      <c r="T189" s="21"/>
      <c r="U189" s="20"/>
      <c r="V189" s="20"/>
      <c r="W189" s="27" t="str">
        <f aca="true">IF(OR(T189="",LEFT(O189,6)="Closed"),"",TODAY()-T189)</f>
        <v/>
      </c>
      <c r="X189" s="27" t="str">
        <f aca="true">IF(OR(S189="",LEFT(O189,6)="Closed"),"",IF(TODAY()&gt;S189,"Overdue",""))</f>
        <v/>
      </c>
    </row>
    <row r="190" customFormat="false" ht="1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7" t="str">
        <f aca="false">IF(OR(F190="",G190=""),"",IFERROR(INDEX(Lists!$U$3:$Y$5,MATCH(F190,Lists!$T$3:$T$5,0),MATCH(G190,Lists!$U$2:$Y$2,0)),"Check inputs"))</f>
        <v/>
      </c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1"/>
      <c r="T190" s="21"/>
      <c r="U190" s="20"/>
      <c r="V190" s="20"/>
      <c r="W190" s="27" t="str">
        <f aca="true">IF(OR(T190="",LEFT(O190,6)="Closed"),"",TODAY()-T190)</f>
        <v/>
      </c>
      <c r="X190" s="27" t="str">
        <f aca="true">IF(OR(S190="",LEFT(O190,6)="Closed"),"",IF(TODAY()&gt;S190,"Overdue",""))</f>
        <v/>
      </c>
    </row>
    <row r="191" customFormat="false" ht="1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7" t="str">
        <f aca="false">IF(OR(F191="",G191=""),"",IFERROR(INDEX(Lists!$U$3:$Y$5,MATCH(F191,Lists!$T$3:$T$5,0),MATCH(G191,Lists!$U$2:$Y$2,0)),"Check inputs"))</f>
        <v/>
      </c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1"/>
      <c r="T191" s="21"/>
      <c r="U191" s="20"/>
      <c r="V191" s="20"/>
      <c r="W191" s="27" t="str">
        <f aca="true">IF(OR(T191="",LEFT(O191,6)="Closed"),"",TODAY()-T191)</f>
        <v/>
      </c>
      <c r="X191" s="27" t="str">
        <f aca="true">IF(OR(S191="",LEFT(O191,6)="Closed"),"",IF(TODAY()&gt;S191,"Overdue",""))</f>
        <v/>
      </c>
    </row>
    <row r="192" customFormat="false" ht="1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7" t="str">
        <f aca="false">IF(OR(F192="",G192=""),"",IFERROR(INDEX(Lists!$U$3:$Y$5,MATCH(F192,Lists!$T$3:$T$5,0),MATCH(G192,Lists!$U$2:$Y$2,0)),"Check inputs"))</f>
        <v/>
      </c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1"/>
      <c r="T192" s="21"/>
      <c r="U192" s="20"/>
      <c r="V192" s="20"/>
      <c r="W192" s="27" t="str">
        <f aca="true">IF(OR(T192="",LEFT(O192,6)="Closed"),"",TODAY()-T192)</f>
        <v/>
      </c>
      <c r="X192" s="27" t="str">
        <f aca="true">IF(OR(S192="",LEFT(O192,6)="Closed"),"",IF(TODAY()&gt;S192,"Overdue",""))</f>
        <v/>
      </c>
    </row>
    <row r="193" customFormat="false" ht="1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7" t="str">
        <f aca="false">IF(OR(F193="",G193=""),"",IFERROR(INDEX(Lists!$U$3:$Y$5,MATCH(F193,Lists!$T$3:$T$5,0),MATCH(G193,Lists!$U$2:$Y$2,0)),"Check inputs"))</f>
        <v/>
      </c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1"/>
      <c r="T193" s="21"/>
      <c r="U193" s="20"/>
      <c r="V193" s="20"/>
      <c r="W193" s="27" t="str">
        <f aca="true">IF(OR(T193="",LEFT(O193,6)="Closed"),"",TODAY()-T193)</f>
        <v/>
      </c>
      <c r="X193" s="27" t="str">
        <f aca="true">IF(OR(S193="",LEFT(O193,6)="Closed"),"",IF(TODAY()&gt;S193,"Overdue",""))</f>
        <v/>
      </c>
    </row>
    <row r="194" customFormat="false" ht="1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7" t="str">
        <f aca="false">IF(OR(F194="",G194=""),"",IFERROR(INDEX(Lists!$U$3:$Y$5,MATCH(F194,Lists!$T$3:$T$5,0),MATCH(G194,Lists!$U$2:$Y$2,0)),"Check inputs"))</f>
        <v/>
      </c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1"/>
      <c r="T194" s="21"/>
      <c r="U194" s="20"/>
      <c r="V194" s="20"/>
      <c r="W194" s="27" t="str">
        <f aca="true">IF(OR(T194="",LEFT(O194,6)="Closed"),"",TODAY()-T194)</f>
        <v/>
      </c>
      <c r="X194" s="27" t="str">
        <f aca="true">IF(OR(S194="",LEFT(O194,6)="Closed"),"",IF(TODAY()&gt;S194,"Overdue",""))</f>
        <v/>
      </c>
    </row>
    <row r="195" customFormat="false" ht="1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7" t="str">
        <f aca="false">IF(OR(F195="",G195=""),"",IFERROR(INDEX(Lists!$U$3:$Y$5,MATCH(F195,Lists!$T$3:$T$5,0),MATCH(G195,Lists!$U$2:$Y$2,0)),"Check inputs"))</f>
        <v/>
      </c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1"/>
      <c r="T195" s="21"/>
      <c r="U195" s="20"/>
      <c r="V195" s="20"/>
      <c r="W195" s="27" t="str">
        <f aca="true">IF(OR(T195="",LEFT(O195,6)="Closed"),"",TODAY()-T195)</f>
        <v/>
      </c>
      <c r="X195" s="27" t="str">
        <f aca="true">IF(OR(S195="",LEFT(O195,6)="Closed"),"",IF(TODAY()&gt;S195,"Overdue",""))</f>
        <v/>
      </c>
    </row>
    <row r="196" customFormat="false" ht="1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7" t="str">
        <f aca="false">IF(OR(F196="",G196=""),"",IFERROR(INDEX(Lists!$U$3:$Y$5,MATCH(F196,Lists!$T$3:$T$5,0),MATCH(G196,Lists!$U$2:$Y$2,0)),"Check inputs"))</f>
        <v/>
      </c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1"/>
      <c r="T196" s="21"/>
      <c r="U196" s="20"/>
      <c r="V196" s="20"/>
      <c r="W196" s="27" t="str">
        <f aca="true">IF(OR(T196="",LEFT(O196,6)="Closed"),"",TODAY()-T196)</f>
        <v/>
      </c>
      <c r="X196" s="27" t="str">
        <f aca="true">IF(OR(S196="",LEFT(O196,6)="Closed"),"",IF(TODAY()&gt;S196,"Overdue",""))</f>
        <v/>
      </c>
    </row>
    <row r="197" customFormat="false" ht="1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7" t="str">
        <f aca="false">IF(OR(F197="",G197=""),"",IFERROR(INDEX(Lists!$U$3:$Y$5,MATCH(F197,Lists!$T$3:$T$5,0),MATCH(G197,Lists!$U$2:$Y$2,0)),"Check inputs"))</f>
        <v/>
      </c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1"/>
      <c r="T197" s="21"/>
      <c r="U197" s="20"/>
      <c r="V197" s="20"/>
      <c r="W197" s="27" t="str">
        <f aca="true">IF(OR(T197="",LEFT(O197,6)="Closed"),"",TODAY()-T197)</f>
        <v/>
      </c>
      <c r="X197" s="27" t="str">
        <f aca="true">IF(OR(S197="",LEFT(O197,6)="Closed"),"",IF(TODAY()&gt;S197,"Overdue",""))</f>
        <v/>
      </c>
    </row>
    <row r="198" customFormat="false" ht="1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7" t="str">
        <f aca="false">IF(OR(F198="",G198=""),"",IFERROR(INDEX(Lists!$U$3:$Y$5,MATCH(F198,Lists!$T$3:$T$5,0),MATCH(G198,Lists!$U$2:$Y$2,0)),"Check inputs"))</f>
        <v/>
      </c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1"/>
      <c r="T198" s="21"/>
      <c r="U198" s="20"/>
      <c r="V198" s="20"/>
      <c r="W198" s="27" t="str">
        <f aca="true">IF(OR(T198="",LEFT(O198,6)="Closed"),"",TODAY()-T198)</f>
        <v/>
      </c>
      <c r="X198" s="27" t="str">
        <f aca="true">IF(OR(S198="",LEFT(O198,6)="Closed"),"",IF(TODAY()&gt;S198,"Overdue",""))</f>
        <v/>
      </c>
    </row>
    <row r="199" customFormat="false" ht="1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7" t="str">
        <f aca="false">IF(OR(F199="",G199=""),"",IFERROR(INDEX(Lists!$U$3:$Y$5,MATCH(F199,Lists!$T$3:$T$5,0),MATCH(G199,Lists!$U$2:$Y$2,0)),"Check inputs"))</f>
        <v/>
      </c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1"/>
      <c r="T199" s="21"/>
      <c r="U199" s="20"/>
      <c r="V199" s="20"/>
      <c r="W199" s="27" t="str">
        <f aca="true">IF(OR(T199="",LEFT(O199,6)="Closed"),"",TODAY()-T199)</f>
        <v/>
      </c>
      <c r="X199" s="27" t="str">
        <f aca="true">IF(OR(S199="",LEFT(O199,6)="Closed"),"",IF(TODAY()&gt;S199,"Overdue",""))</f>
        <v/>
      </c>
    </row>
    <row r="200" customFormat="false" ht="1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7" t="str">
        <f aca="false">IF(OR(F200="",G200=""),"",IFERROR(INDEX(Lists!$U$3:$Y$5,MATCH(F200,Lists!$T$3:$T$5,0),MATCH(G200,Lists!$U$2:$Y$2,0)),"Check inputs"))</f>
        <v/>
      </c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1"/>
      <c r="T200" s="21"/>
      <c r="U200" s="20"/>
      <c r="V200" s="20"/>
      <c r="W200" s="27" t="str">
        <f aca="true">IF(OR(T200="",LEFT(O200,6)="Closed"),"",TODAY()-T200)</f>
        <v/>
      </c>
      <c r="X200" s="27" t="str">
        <f aca="true">IF(OR(S200="",LEFT(O200,6)="Closed"),"",IF(TODAY()&gt;S200,"Overdue",""))</f>
        <v/>
      </c>
    </row>
    <row r="201" customFormat="false" ht="15" hidden="false" customHeight="false" outlineLevel="0" collapsed="false">
      <c r="A201" s="20"/>
      <c r="B201" s="20"/>
      <c r="C201" s="20"/>
      <c r="D201" s="20"/>
      <c r="E201" s="20"/>
      <c r="F201" s="20"/>
      <c r="G201" s="20"/>
      <c r="H201" s="27" t="str">
        <f aca="false">IF(OR(F201="",G201=""),"",IFERROR(INDEX(Lists!$U$3:$Y$5,MATCH(F201,Lists!$T$3:$T$5,0),MATCH(G201,Lists!$U$2:$Y$2,0)),"Check inputs"))</f>
        <v/>
      </c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1"/>
      <c r="T201" s="21"/>
      <c r="U201" s="20"/>
      <c r="V201" s="20"/>
      <c r="W201" s="27" t="str">
        <f aca="true">IF(OR(T201="",LEFT(O201,6)="Closed"),"",TODAY()-T201)</f>
        <v/>
      </c>
      <c r="X201" s="27" t="str">
        <f aca="true">IF(OR(S201="",LEFT(O201,6)="Closed"),"",IF(TODAY()&gt;S201,"Overdue",""))</f>
        <v/>
      </c>
    </row>
    <row r="202" customFormat="false" ht="15" hidden="false" customHeight="false" outlineLevel="0" collapsed="false">
      <c r="A202" s="20"/>
      <c r="B202" s="20"/>
      <c r="C202" s="20"/>
      <c r="D202" s="20"/>
      <c r="E202" s="20"/>
      <c r="F202" s="20"/>
      <c r="G202" s="20"/>
      <c r="H202" s="27" t="str">
        <f aca="false">IF(OR(F202="",G202=""),"",IFERROR(INDEX(Lists!$U$3:$Y$5,MATCH(F202,Lists!$T$3:$T$5,0),MATCH(G202,Lists!$U$2:$Y$2,0)),"Check inputs"))</f>
        <v/>
      </c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1"/>
      <c r="T202" s="21"/>
      <c r="U202" s="20"/>
      <c r="V202" s="20"/>
      <c r="W202" s="27" t="str">
        <f aca="true">IF(OR(T202="",LEFT(O202,6)="Closed"),"",TODAY()-T202)</f>
        <v/>
      </c>
      <c r="X202" s="27" t="str">
        <f aca="true">IF(OR(S202="",LEFT(O202,6)="Closed"),"",IF(TODAY()&gt;S202,"Overdue",""))</f>
        <v/>
      </c>
    </row>
    <row r="203" customFormat="false" ht="15" hidden="false" customHeight="false" outlineLevel="0" collapsed="false">
      <c r="A203" s="20"/>
      <c r="B203" s="20"/>
      <c r="C203" s="20"/>
      <c r="D203" s="20"/>
      <c r="E203" s="20"/>
      <c r="F203" s="20"/>
      <c r="G203" s="20"/>
      <c r="H203" s="27" t="str">
        <f aca="false">IF(OR(F203="",G203=""),"",IFERROR(INDEX(Lists!$U$3:$Y$5,MATCH(F203,Lists!$T$3:$T$5,0),MATCH(G203,Lists!$U$2:$Y$2,0)),"Check inputs"))</f>
        <v/>
      </c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1"/>
      <c r="T203" s="21"/>
      <c r="U203" s="20"/>
      <c r="V203" s="20"/>
      <c r="W203" s="27" t="str">
        <f aca="true">IF(OR(T203="",LEFT(O203,6)="Closed"),"",TODAY()-T203)</f>
        <v/>
      </c>
      <c r="X203" s="27" t="str">
        <f aca="true">IF(OR(S203="",LEFT(O203,6)="Closed"),"",IF(TODAY()&gt;S203,"Overdue",""))</f>
        <v/>
      </c>
    </row>
    <row r="204" customFormat="false" ht="15" hidden="false" customHeight="false" outlineLevel="0" collapsed="false">
      <c r="A204" s="20"/>
      <c r="B204" s="20"/>
      <c r="C204" s="20"/>
      <c r="D204" s="20"/>
      <c r="E204" s="20"/>
      <c r="F204" s="20"/>
      <c r="G204" s="20"/>
      <c r="H204" s="27" t="str">
        <f aca="false">IF(OR(F204="",G204=""),"",IFERROR(INDEX(Lists!$U$3:$Y$5,MATCH(F204,Lists!$T$3:$T$5,0),MATCH(G204,Lists!$U$2:$Y$2,0)),"Check inputs"))</f>
        <v/>
      </c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1"/>
      <c r="T204" s="21"/>
      <c r="U204" s="20"/>
      <c r="V204" s="20"/>
      <c r="W204" s="27" t="str">
        <f aca="true">IF(OR(T204="",LEFT(O204,6)="Closed"),"",TODAY()-T204)</f>
        <v/>
      </c>
      <c r="X204" s="27" t="str">
        <f aca="true">IF(OR(S204="",LEFT(O204,6)="Closed"),"",IF(TODAY()&gt;S204,"Overdue",""))</f>
        <v/>
      </c>
    </row>
    <row r="205" customFormat="false" ht="15" hidden="false" customHeight="false" outlineLevel="0" collapsed="false">
      <c r="A205" s="20"/>
      <c r="B205" s="20"/>
      <c r="C205" s="20"/>
      <c r="D205" s="20"/>
      <c r="E205" s="20"/>
      <c r="F205" s="20"/>
      <c r="G205" s="20"/>
      <c r="H205" s="27" t="str">
        <f aca="false">IF(OR(F205="",G205=""),"",IFERROR(INDEX(Lists!$U$3:$Y$5,MATCH(F205,Lists!$T$3:$T$5,0),MATCH(G205,Lists!$U$2:$Y$2,0)),"Check inputs"))</f>
        <v/>
      </c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1"/>
      <c r="T205" s="21"/>
      <c r="U205" s="20"/>
      <c r="V205" s="20"/>
      <c r="W205" s="27" t="str">
        <f aca="true">IF(OR(T205="",LEFT(O205,6)="Closed"),"",TODAY()-T205)</f>
        <v/>
      </c>
      <c r="X205" s="27" t="str">
        <f aca="true">IF(OR(S205="",LEFT(O205,6)="Closed"),"",IF(TODAY()&gt;S205,"Overdue",""))</f>
        <v/>
      </c>
    </row>
    <row r="206" customFormat="false" ht="15" hidden="false" customHeight="false" outlineLevel="0" collapsed="false">
      <c r="A206" s="20"/>
      <c r="B206" s="20"/>
      <c r="C206" s="20"/>
      <c r="D206" s="20"/>
      <c r="E206" s="20"/>
      <c r="F206" s="20"/>
      <c r="G206" s="20"/>
      <c r="H206" s="27" t="str">
        <f aca="false">IF(OR(F206="",G206=""),"",IFERROR(INDEX(Lists!$U$3:$Y$5,MATCH(F206,Lists!$T$3:$T$5,0),MATCH(G206,Lists!$U$2:$Y$2,0)),"Check inputs"))</f>
        <v/>
      </c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1"/>
      <c r="T206" s="21"/>
      <c r="U206" s="20"/>
      <c r="V206" s="20"/>
      <c r="W206" s="27" t="str">
        <f aca="true">IF(OR(T206="",LEFT(O206,6)="Closed"),"",TODAY()-T206)</f>
        <v/>
      </c>
      <c r="X206" s="27" t="str">
        <f aca="true">IF(OR(S206="",LEFT(O206,6)="Closed"),"",IF(TODAY()&gt;S206,"Overdue",""))</f>
        <v/>
      </c>
    </row>
    <row r="207" customFormat="false" ht="15" hidden="false" customHeight="false" outlineLevel="0" collapsed="false">
      <c r="A207" s="20"/>
      <c r="B207" s="20"/>
      <c r="C207" s="20"/>
      <c r="D207" s="20"/>
      <c r="E207" s="20"/>
      <c r="F207" s="20"/>
      <c r="G207" s="20"/>
      <c r="H207" s="27" t="str">
        <f aca="false">IF(OR(F207="",G207=""),"",IFERROR(INDEX(Lists!$U$3:$Y$5,MATCH(F207,Lists!$T$3:$T$5,0),MATCH(G207,Lists!$U$2:$Y$2,0)),"Check inputs"))</f>
        <v/>
      </c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1"/>
      <c r="T207" s="21"/>
      <c r="U207" s="20"/>
      <c r="V207" s="20"/>
      <c r="W207" s="27" t="str">
        <f aca="true">IF(OR(T207="",LEFT(O207,6)="Closed"),"",TODAY()-T207)</f>
        <v/>
      </c>
      <c r="X207" s="27" t="str">
        <f aca="true">IF(OR(S207="",LEFT(O207,6)="Closed"),"",IF(TODAY()&gt;S207,"Overdue",""))</f>
        <v/>
      </c>
    </row>
    <row r="208" customFormat="false" ht="15" hidden="false" customHeight="false" outlineLevel="0" collapsed="false">
      <c r="A208" s="20"/>
      <c r="B208" s="20"/>
      <c r="C208" s="20"/>
      <c r="D208" s="20"/>
      <c r="E208" s="20"/>
      <c r="F208" s="20"/>
      <c r="G208" s="20"/>
      <c r="H208" s="27" t="str">
        <f aca="false">IF(OR(F208="",G208=""),"",IFERROR(INDEX(Lists!$U$3:$Y$5,MATCH(F208,Lists!$T$3:$T$5,0),MATCH(G208,Lists!$U$2:$Y$2,0)),"Check inputs"))</f>
        <v/>
      </c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1"/>
      <c r="T208" s="21"/>
      <c r="U208" s="20"/>
      <c r="V208" s="20"/>
      <c r="W208" s="27" t="str">
        <f aca="true">IF(OR(T208="",LEFT(O208,6)="Closed"),"",TODAY()-T208)</f>
        <v/>
      </c>
      <c r="X208" s="27" t="str">
        <f aca="true">IF(OR(S208="",LEFT(O208,6)="Closed"),"",IF(TODAY()&gt;S208,"Overdue",""))</f>
        <v/>
      </c>
    </row>
    <row r="209" customFormat="false" ht="15" hidden="false" customHeight="false" outlineLevel="0" collapsed="false">
      <c r="A209" s="20"/>
      <c r="B209" s="20"/>
      <c r="C209" s="20"/>
      <c r="D209" s="20"/>
      <c r="E209" s="20"/>
      <c r="F209" s="20"/>
      <c r="G209" s="20"/>
      <c r="H209" s="27" t="str">
        <f aca="false">IF(OR(F209="",G209=""),"",IFERROR(INDEX(Lists!$U$3:$Y$5,MATCH(F209,Lists!$T$3:$T$5,0),MATCH(G209,Lists!$U$2:$Y$2,0)),"Check inputs"))</f>
        <v/>
      </c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1"/>
      <c r="T209" s="21"/>
      <c r="U209" s="20"/>
      <c r="V209" s="20"/>
      <c r="W209" s="27" t="str">
        <f aca="true">IF(OR(T209="",LEFT(O209,6)="Closed"),"",TODAY()-T209)</f>
        <v/>
      </c>
      <c r="X209" s="27" t="str">
        <f aca="true">IF(OR(S209="",LEFT(O209,6)="Closed"),"",IF(TODAY()&gt;S209,"Overdue",""))</f>
        <v/>
      </c>
    </row>
    <row r="210" customFormat="false" ht="15" hidden="false" customHeight="false" outlineLevel="0" collapsed="false">
      <c r="A210" s="20"/>
      <c r="B210" s="20"/>
      <c r="C210" s="20"/>
      <c r="D210" s="20"/>
      <c r="E210" s="20"/>
      <c r="F210" s="20"/>
      <c r="G210" s="20"/>
      <c r="H210" s="27" t="str">
        <f aca="false">IF(OR(F210="",G210=""),"",IFERROR(INDEX(Lists!$U$3:$Y$5,MATCH(F210,Lists!$T$3:$T$5,0),MATCH(G210,Lists!$U$2:$Y$2,0)),"Check inputs"))</f>
        <v/>
      </c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1"/>
      <c r="T210" s="21"/>
      <c r="U210" s="20"/>
      <c r="V210" s="20"/>
      <c r="W210" s="27" t="str">
        <f aca="true">IF(OR(T210="",LEFT(O210,6)="Closed"),"",TODAY()-T210)</f>
        <v/>
      </c>
      <c r="X210" s="27" t="str">
        <f aca="true">IF(OR(S210="",LEFT(O210,6)="Closed"),"",IF(TODAY()&gt;S210,"Overdue",""))</f>
        <v/>
      </c>
    </row>
    <row r="211" customFormat="false" ht="15" hidden="false" customHeight="false" outlineLevel="0" collapsed="false">
      <c r="A211" s="20"/>
      <c r="B211" s="20"/>
      <c r="C211" s="20"/>
      <c r="D211" s="20"/>
      <c r="E211" s="20"/>
      <c r="F211" s="20"/>
      <c r="G211" s="20"/>
      <c r="H211" s="27" t="str">
        <f aca="false">IF(OR(F211="",G211=""),"",IFERROR(INDEX(Lists!$U$3:$Y$5,MATCH(F211,Lists!$T$3:$T$5,0),MATCH(G211,Lists!$U$2:$Y$2,0)),"Check inputs"))</f>
        <v/>
      </c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1"/>
      <c r="T211" s="21"/>
      <c r="U211" s="20"/>
      <c r="V211" s="20"/>
      <c r="W211" s="27" t="str">
        <f aca="true">IF(OR(T211="",LEFT(O211,6)="Closed"),"",TODAY()-T211)</f>
        <v/>
      </c>
      <c r="X211" s="27" t="str">
        <f aca="true">IF(OR(S211="",LEFT(O211,6)="Closed"),"",IF(TODAY()&gt;S211,"Overdue",""))</f>
        <v/>
      </c>
    </row>
    <row r="212" customFormat="false" ht="15" hidden="false" customHeight="false" outlineLevel="0" collapsed="false">
      <c r="A212" s="20"/>
      <c r="B212" s="20"/>
      <c r="C212" s="20"/>
      <c r="D212" s="20"/>
      <c r="E212" s="20"/>
      <c r="F212" s="20"/>
      <c r="G212" s="20"/>
      <c r="H212" s="27" t="str">
        <f aca="false">IF(OR(F212="",G212=""),"",IFERROR(INDEX(Lists!$U$3:$Y$5,MATCH(F212,Lists!$T$3:$T$5,0),MATCH(G212,Lists!$U$2:$Y$2,0)),"Check inputs"))</f>
        <v/>
      </c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1"/>
      <c r="T212" s="21"/>
      <c r="U212" s="20"/>
      <c r="V212" s="20"/>
      <c r="W212" s="27" t="str">
        <f aca="true">IF(OR(T212="",LEFT(O212,6)="Closed"),"",TODAY()-T212)</f>
        <v/>
      </c>
      <c r="X212" s="27" t="str">
        <f aca="true">IF(OR(S212="",LEFT(O212,6)="Closed"),"",IF(TODAY()&gt;S212,"Overdue",""))</f>
        <v/>
      </c>
    </row>
    <row r="213" customFormat="false" ht="15" hidden="false" customHeight="false" outlineLevel="0" collapsed="false">
      <c r="A213" s="20"/>
      <c r="B213" s="20"/>
      <c r="C213" s="20"/>
      <c r="D213" s="20"/>
      <c r="E213" s="20"/>
      <c r="F213" s="20"/>
      <c r="G213" s="20"/>
      <c r="H213" s="27" t="str">
        <f aca="false">IF(OR(F213="",G213=""),"",IFERROR(INDEX(Lists!$U$3:$Y$5,MATCH(F213,Lists!$T$3:$T$5,0),MATCH(G213,Lists!$U$2:$Y$2,0)),"Check inputs"))</f>
        <v/>
      </c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1"/>
      <c r="T213" s="21"/>
      <c r="U213" s="20"/>
      <c r="V213" s="20"/>
      <c r="W213" s="27" t="str">
        <f aca="true">IF(OR(T213="",LEFT(O213,6)="Closed"),"",TODAY()-T213)</f>
        <v/>
      </c>
      <c r="X213" s="27" t="str">
        <f aca="true">IF(OR(S213="",LEFT(O213,6)="Closed"),"",IF(TODAY()&gt;S213,"Overdue",""))</f>
        <v/>
      </c>
    </row>
    <row r="214" customFormat="false" ht="15" hidden="false" customHeight="false" outlineLevel="0" collapsed="false">
      <c r="A214" s="20"/>
      <c r="B214" s="20"/>
      <c r="C214" s="20"/>
      <c r="D214" s="20"/>
      <c r="E214" s="20"/>
      <c r="F214" s="20"/>
      <c r="G214" s="20"/>
      <c r="H214" s="27" t="str">
        <f aca="false">IF(OR(F214="",G214=""),"",IFERROR(INDEX(Lists!$U$3:$Y$5,MATCH(F214,Lists!$T$3:$T$5,0),MATCH(G214,Lists!$U$2:$Y$2,0)),"Check inputs"))</f>
        <v/>
      </c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1"/>
      <c r="T214" s="21"/>
      <c r="U214" s="20"/>
      <c r="V214" s="20"/>
      <c r="W214" s="27" t="str">
        <f aca="true">IF(OR(T214="",LEFT(O214,6)="Closed"),"",TODAY()-T214)</f>
        <v/>
      </c>
      <c r="X214" s="27" t="str">
        <f aca="true">IF(OR(S214="",LEFT(O214,6)="Closed"),"",IF(TODAY()&gt;S214,"Overdue",""))</f>
        <v/>
      </c>
    </row>
    <row r="215" customFormat="false" ht="15" hidden="false" customHeight="false" outlineLevel="0" collapsed="false">
      <c r="A215" s="20"/>
      <c r="B215" s="20"/>
      <c r="C215" s="20"/>
      <c r="D215" s="20"/>
      <c r="E215" s="20"/>
      <c r="F215" s="20"/>
      <c r="G215" s="20"/>
      <c r="H215" s="27" t="str">
        <f aca="false">IF(OR(F215="",G215=""),"",IFERROR(INDEX(Lists!$U$3:$Y$5,MATCH(F215,Lists!$T$3:$T$5,0),MATCH(G215,Lists!$U$2:$Y$2,0)),"Check inputs"))</f>
        <v/>
      </c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1"/>
      <c r="T215" s="21"/>
      <c r="U215" s="20"/>
      <c r="V215" s="20"/>
      <c r="W215" s="27" t="str">
        <f aca="true">IF(OR(T215="",LEFT(O215,6)="Closed"),"",TODAY()-T215)</f>
        <v/>
      </c>
      <c r="X215" s="27" t="str">
        <f aca="true">IF(OR(S215="",LEFT(O215,6)="Closed"),"",IF(TODAY()&gt;S215,"Overdue",""))</f>
        <v/>
      </c>
    </row>
    <row r="216" customFormat="false" ht="15" hidden="false" customHeight="false" outlineLevel="0" collapsed="false">
      <c r="A216" s="20"/>
      <c r="B216" s="20"/>
      <c r="C216" s="20"/>
      <c r="D216" s="20"/>
      <c r="E216" s="20"/>
      <c r="F216" s="20"/>
      <c r="G216" s="20"/>
      <c r="H216" s="27" t="str">
        <f aca="false">IF(OR(F216="",G216=""),"",IFERROR(INDEX(Lists!$U$3:$Y$5,MATCH(F216,Lists!$T$3:$T$5,0),MATCH(G216,Lists!$U$2:$Y$2,0)),"Check inputs"))</f>
        <v/>
      </c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1"/>
      <c r="T216" s="21"/>
      <c r="U216" s="20"/>
      <c r="V216" s="20"/>
      <c r="W216" s="27" t="str">
        <f aca="true">IF(OR(T216="",LEFT(O216,6)="Closed"),"",TODAY()-T216)</f>
        <v/>
      </c>
      <c r="X216" s="27" t="str">
        <f aca="true">IF(OR(S216="",LEFT(O216,6)="Closed"),"",IF(TODAY()&gt;S216,"Overdue",""))</f>
        <v/>
      </c>
    </row>
    <row r="217" customFormat="false" ht="15" hidden="false" customHeight="false" outlineLevel="0" collapsed="false">
      <c r="A217" s="20"/>
      <c r="B217" s="20"/>
      <c r="C217" s="20"/>
      <c r="D217" s="20"/>
      <c r="E217" s="20"/>
      <c r="F217" s="20"/>
      <c r="G217" s="20"/>
      <c r="H217" s="27" t="str">
        <f aca="false">IF(OR(F217="",G217=""),"",IFERROR(INDEX(Lists!$U$3:$Y$5,MATCH(F217,Lists!$T$3:$T$5,0),MATCH(G217,Lists!$U$2:$Y$2,0)),"Check inputs"))</f>
        <v/>
      </c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1"/>
      <c r="T217" s="21"/>
      <c r="U217" s="20"/>
      <c r="V217" s="20"/>
      <c r="W217" s="27" t="str">
        <f aca="true">IF(OR(T217="",LEFT(O217,6)="Closed"),"",TODAY()-T217)</f>
        <v/>
      </c>
      <c r="X217" s="27" t="str">
        <f aca="true">IF(OR(S217="",LEFT(O217,6)="Closed"),"",IF(TODAY()&gt;S217,"Overdue",""))</f>
        <v/>
      </c>
    </row>
    <row r="218" customFormat="false" ht="15" hidden="false" customHeight="false" outlineLevel="0" collapsed="false">
      <c r="A218" s="20"/>
      <c r="B218" s="20"/>
      <c r="C218" s="20"/>
      <c r="D218" s="20"/>
      <c r="E218" s="20"/>
      <c r="F218" s="20"/>
      <c r="G218" s="20"/>
      <c r="H218" s="27" t="str">
        <f aca="false">IF(OR(F218="",G218=""),"",IFERROR(INDEX(Lists!$U$3:$Y$5,MATCH(F218,Lists!$T$3:$T$5,0),MATCH(G218,Lists!$U$2:$Y$2,0)),"Check inputs"))</f>
        <v/>
      </c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1"/>
      <c r="T218" s="21"/>
      <c r="U218" s="20"/>
      <c r="V218" s="20"/>
      <c r="W218" s="27" t="str">
        <f aca="true">IF(OR(T218="",LEFT(O218,6)="Closed"),"",TODAY()-T218)</f>
        <v/>
      </c>
      <c r="X218" s="27" t="str">
        <f aca="true">IF(OR(S218="",LEFT(O218,6)="Closed"),"",IF(TODAY()&gt;S218,"Overdue",""))</f>
        <v/>
      </c>
    </row>
    <row r="219" customFormat="false" ht="15" hidden="false" customHeight="false" outlineLevel="0" collapsed="false">
      <c r="A219" s="20"/>
      <c r="B219" s="20"/>
      <c r="C219" s="20"/>
      <c r="D219" s="20"/>
      <c r="E219" s="20"/>
      <c r="F219" s="20"/>
      <c r="G219" s="20"/>
      <c r="H219" s="27" t="str">
        <f aca="false">IF(OR(F219="",G219=""),"",IFERROR(INDEX(Lists!$U$3:$Y$5,MATCH(F219,Lists!$T$3:$T$5,0),MATCH(G219,Lists!$U$2:$Y$2,0)),"Check inputs"))</f>
        <v/>
      </c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1"/>
      <c r="T219" s="21"/>
      <c r="U219" s="20"/>
      <c r="V219" s="20"/>
      <c r="W219" s="27" t="str">
        <f aca="true">IF(OR(T219="",LEFT(O219,6)="Closed"),"",TODAY()-T219)</f>
        <v/>
      </c>
      <c r="X219" s="27" t="str">
        <f aca="true">IF(OR(S219="",LEFT(O219,6)="Closed"),"",IF(TODAY()&gt;S219,"Overdue",""))</f>
        <v/>
      </c>
    </row>
    <row r="220" customFormat="false" ht="15" hidden="false" customHeight="false" outlineLevel="0" collapsed="false">
      <c r="A220" s="20"/>
      <c r="B220" s="20"/>
      <c r="C220" s="20"/>
      <c r="D220" s="20"/>
      <c r="E220" s="20"/>
      <c r="F220" s="20"/>
      <c r="G220" s="20"/>
      <c r="H220" s="27" t="str">
        <f aca="false">IF(OR(F220="",G220=""),"",IFERROR(INDEX(Lists!$U$3:$Y$5,MATCH(F220,Lists!$T$3:$T$5,0),MATCH(G220,Lists!$U$2:$Y$2,0)),"Check inputs"))</f>
        <v/>
      </c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1"/>
      <c r="T220" s="21"/>
      <c r="U220" s="20"/>
      <c r="V220" s="20"/>
      <c r="W220" s="27" t="str">
        <f aca="true">IF(OR(T220="",LEFT(O220,6)="Closed"),"",TODAY()-T220)</f>
        <v/>
      </c>
      <c r="X220" s="27" t="str">
        <f aca="true">IF(OR(S220="",LEFT(O220,6)="Closed"),"",IF(TODAY()&gt;S220,"Overdue",""))</f>
        <v/>
      </c>
    </row>
    <row r="221" customFormat="false" ht="15" hidden="false" customHeight="false" outlineLevel="0" collapsed="false">
      <c r="A221" s="20"/>
      <c r="B221" s="20"/>
      <c r="C221" s="20"/>
      <c r="D221" s="20"/>
      <c r="E221" s="20"/>
      <c r="F221" s="20"/>
      <c r="G221" s="20"/>
      <c r="H221" s="27" t="str">
        <f aca="false">IF(OR(F221="",G221=""),"",IFERROR(INDEX(Lists!$U$3:$Y$5,MATCH(F221,Lists!$T$3:$T$5,0),MATCH(G221,Lists!$U$2:$Y$2,0)),"Check inputs"))</f>
        <v/>
      </c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1"/>
      <c r="T221" s="21"/>
      <c r="U221" s="20"/>
      <c r="V221" s="20"/>
      <c r="W221" s="27" t="str">
        <f aca="true">IF(OR(T221="",LEFT(O221,6)="Closed"),"",TODAY()-T221)</f>
        <v/>
      </c>
      <c r="X221" s="27" t="str">
        <f aca="true">IF(OR(S221="",LEFT(O221,6)="Closed"),"",IF(TODAY()&gt;S221,"Overdue",""))</f>
        <v/>
      </c>
    </row>
    <row r="222" customFormat="false" ht="15" hidden="false" customHeight="false" outlineLevel="0" collapsed="false">
      <c r="A222" s="20"/>
      <c r="B222" s="20"/>
      <c r="C222" s="20"/>
      <c r="D222" s="20"/>
      <c r="E222" s="20"/>
      <c r="F222" s="20"/>
      <c r="G222" s="20"/>
      <c r="H222" s="27" t="str">
        <f aca="false">IF(OR(F222="",G222=""),"",IFERROR(INDEX(Lists!$U$3:$Y$5,MATCH(F222,Lists!$T$3:$T$5,0),MATCH(G222,Lists!$U$2:$Y$2,0)),"Check inputs"))</f>
        <v/>
      </c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1"/>
      <c r="T222" s="21"/>
      <c r="U222" s="20"/>
      <c r="V222" s="20"/>
      <c r="W222" s="27" t="str">
        <f aca="true">IF(OR(T222="",LEFT(O222,6)="Closed"),"",TODAY()-T222)</f>
        <v/>
      </c>
      <c r="X222" s="27" t="str">
        <f aca="true">IF(OR(S222="",LEFT(O222,6)="Closed"),"",IF(TODAY()&gt;S222,"Overdue",""))</f>
        <v/>
      </c>
    </row>
    <row r="223" customFormat="false" ht="15" hidden="false" customHeight="false" outlineLevel="0" collapsed="false">
      <c r="A223" s="20"/>
      <c r="B223" s="20"/>
      <c r="C223" s="20"/>
      <c r="D223" s="20"/>
      <c r="E223" s="20"/>
      <c r="F223" s="20"/>
      <c r="G223" s="20"/>
      <c r="H223" s="27" t="str">
        <f aca="false">IF(OR(F223="",G223=""),"",IFERROR(INDEX(Lists!$U$3:$Y$5,MATCH(F223,Lists!$T$3:$T$5,0),MATCH(G223,Lists!$U$2:$Y$2,0)),"Check inputs"))</f>
        <v/>
      </c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1"/>
      <c r="T223" s="21"/>
      <c r="U223" s="20"/>
      <c r="V223" s="20"/>
      <c r="W223" s="27" t="str">
        <f aca="true">IF(OR(T223="",LEFT(O223,6)="Closed"),"",TODAY()-T223)</f>
        <v/>
      </c>
      <c r="X223" s="27" t="str">
        <f aca="true">IF(OR(S223="",LEFT(O223,6)="Closed"),"",IF(TODAY()&gt;S223,"Overdue",""))</f>
        <v/>
      </c>
    </row>
    <row r="224" customFormat="false" ht="15" hidden="false" customHeight="false" outlineLevel="0" collapsed="false">
      <c r="A224" s="20"/>
      <c r="B224" s="20"/>
      <c r="C224" s="20"/>
      <c r="D224" s="20"/>
      <c r="E224" s="20"/>
      <c r="F224" s="20"/>
      <c r="G224" s="20"/>
      <c r="H224" s="27" t="str">
        <f aca="false">IF(OR(F224="",G224=""),"",IFERROR(INDEX(Lists!$U$3:$Y$5,MATCH(F224,Lists!$T$3:$T$5,0),MATCH(G224,Lists!$U$2:$Y$2,0)),"Check inputs"))</f>
        <v/>
      </c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1"/>
      <c r="T224" s="21"/>
      <c r="U224" s="20"/>
      <c r="V224" s="20"/>
      <c r="W224" s="27" t="str">
        <f aca="true">IF(OR(T224="",LEFT(O224,6)="Closed"),"",TODAY()-T224)</f>
        <v/>
      </c>
      <c r="X224" s="27" t="str">
        <f aca="true">IF(OR(S224="",LEFT(O224,6)="Closed"),"",IF(TODAY()&gt;S224,"Overdue",""))</f>
        <v/>
      </c>
    </row>
    <row r="225" customFormat="false" ht="15" hidden="false" customHeight="false" outlineLevel="0" collapsed="false">
      <c r="A225" s="20"/>
      <c r="B225" s="20"/>
      <c r="C225" s="20"/>
      <c r="D225" s="20"/>
      <c r="E225" s="20"/>
      <c r="F225" s="20"/>
      <c r="G225" s="20"/>
      <c r="H225" s="27" t="str">
        <f aca="false">IF(OR(F225="",G225=""),"",IFERROR(INDEX(Lists!$U$3:$Y$5,MATCH(F225,Lists!$T$3:$T$5,0),MATCH(G225,Lists!$U$2:$Y$2,0)),"Check inputs"))</f>
        <v/>
      </c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1"/>
      <c r="T225" s="21"/>
      <c r="U225" s="20"/>
      <c r="V225" s="20"/>
      <c r="W225" s="27" t="str">
        <f aca="true">IF(OR(T225="",LEFT(O225,6)="Closed"),"",TODAY()-T225)</f>
        <v/>
      </c>
      <c r="X225" s="27" t="str">
        <f aca="true">IF(OR(S225="",LEFT(O225,6)="Closed"),"",IF(TODAY()&gt;S225,"Overdue",""))</f>
        <v/>
      </c>
    </row>
    <row r="226" customFormat="false" ht="15" hidden="false" customHeight="false" outlineLevel="0" collapsed="false">
      <c r="A226" s="20"/>
      <c r="B226" s="20"/>
      <c r="C226" s="20"/>
      <c r="D226" s="20"/>
      <c r="E226" s="20"/>
      <c r="F226" s="20"/>
      <c r="G226" s="20"/>
      <c r="H226" s="27" t="str">
        <f aca="false">IF(OR(F226="",G226=""),"",IFERROR(INDEX(Lists!$U$3:$Y$5,MATCH(F226,Lists!$T$3:$T$5,0),MATCH(G226,Lists!$U$2:$Y$2,0)),"Check inputs"))</f>
        <v/>
      </c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1"/>
      <c r="T226" s="21"/>
      <c r="U226" s="20"/>
      <c r="V226" s="20"/>
      <c r="W226" s="27" t="str">
        <f aca="true">IF(OR(T226="",LEFT(O226,6)="Closed"),"",TODAY()-T226)</f>
        <v/>
      </c>
      <c r="X226" s="27" t="str">
        <f aca="true">IF(OR(S226="",LEFT(O226,6)="Closed"),"",IF(TODAY()&gt;S226,"Overdue",""))</f>
        <v/>
      </c>
    </row>
    <row r="227" customFormat="false" ht="15" hidden="false" customHeight="false" outlineLevel="0" collapsed="false">
      <c r="A227" s="20"/>
      <c r="B227" s="20"/>
      <c r="C227" s="20"/>
      <c r="D227" s="20"/>
      <c r="E227" s="20"/>
      <c r="F227" s="20"/>
      <c r="G227" s="20"/>
      <c r="H227" s="27" t="str">
        <f aca="false">IF(OR(F227="",G227=""),"",IFERROR(INDEX(Lists!$U$3:$Y$5,MATCH(F227,Lists!$T$3:$T$5,0),MATCH(G227,Lists!$U$2:$Y$2,0)),"Check inputs"))</f>
        <v/>
      </c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1"/>
      <c r="T227" s="21"/>
      <c r="U227" s="20"/>
      <c r="V227" s="20"/>
      <c r="W227" s="27" t="str">
        <f aca="true">IF(OR(T227="",LEFT(O227,6)="Closed"),"",TODAY()-T227)</f>
        <v/>
      </c>
      <c r="X227" s="27" t="str">
        <f aca="true">IF(OR(S227="",LEFT(O227,6)="Closed"),"",IF(TODAY()&gt;S227,"Overdue",""))</f>
        <v/>
      </c>
    </row>
    <row r="228" customFormat="false" ht="15" hidden="false" customHeight="false" outlineLevel="0" collapsed="false">
      <c r="A228" s="20"/>
      <c r="B228" s="20"/>
      <c r="C228" s="20"/>
      <c r="D228" s="20"/>
      <c r="E228" s="20"/>
      <c r="F228" s="20"/>
      <c r="G228" s="20"/>
      <c r="H228" s="27" t="str">
        <f aca="false">IF(OR(F228="",G228=""),"",IFERROR(INDEX(Lists!$U$3:$Y$5,MATCH(F228,Lists!$T$3:$T$5,0),MATCH(G228,Lists!$U$2:$Y$2,0)),"Check inputs"))</f>
        <v/>
      </c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1"/>
      <c r="T228" s="21"/>
      <c r="U228" s="20"/>
      <c r="V228" s="20"/>
      <c r="W228" s="27" t="str">
        <f aca="true">IF(OR(T228="",LEFT(O228,6)="Closed"),"",TODAY()-T228)</f>
        <v/>
      </c>
      <c r="X228" s="27" t="str">
        <f aca="true">IF(OR(S228="",LEFT(O228,6)="Closed"),"",IF(TODAY()&gt;S228,"Overdue",""))</f>
        <v/>
      </c>
    </row>
    <row r="229" customFormat="false" ht="15" hidden="false" customHeight="false" outlineLevel="0" collapsed="false">
      <c r="A229" s="20"/>
      <c r="B229" s="20"/>
      <c r="C229" s="20"/>
      <c r="D229" s="20"/>
      <c r="E229" s="20"/>
      <c r="F229" s="20"/>
      <c r="G229" s="20"/>
      <c r="H229" s="27" t="str">
        <f aca="false">IF(OR(F229="",G229=""),"",IFERROR(INDEX(Lists!$U$3:$Y$5,MATCH(F229,Lists!$T$3:$T$5,0),MATCH(G229,Lists!$U$2:$Y$2,0)),"Check inputs"))</f>
        <v/>
      </c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1"/>
      <c r="T229" s="21"/>
      <c r="U229" s="20"/>
      <c r="V229" s="20"/>
      <c r="W229" s="27" t="str">
        <f aca="true">IF(OR(T229="",LEFT(O229,6)="Closed"),"",TODAY()-T229)</f>
        <v/>
      </c>
      <c r="X229" s="27" t="str">
        <f aca="true">IF(OR(S229="",LEFT(O229,6)="Closed"),"",IF(TODAY()&gt;S229,"Overdue",""))</f>
        <v/>
      </c>
    </row>
    <row r="230" customFormat="false" ht="15" hidden="false" customHeight="false" outlineLevel="0" collapsed="false">
      <c r="A230" s="20"/>
      <c r="B230" s="20"/>
      <c r="C230" s="20"/>
      <c r="D230" s="20"/>
      <c r="E230" s="20"/>
      <c r="F230" s="20"/>
      <c r="G230" s="20"/>
      <c r="H230" s="27" t="str">
        <f aca="false">IF(OR(F230="",G230=""),"",IFERROR(INDEX(Lists!$U$3:$Y$5,MATCH(F230,Lists!$T$3:$T$5,0),MATCH(G230,Lists!$U$2:$Y$2,0)),"Check inputs"))</f>
        <v/>
      </c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1"/>
      <c r="T230" s="21"/>
      <c r="U230" s="20"/>
      <c r="V230" s="20"/>
      <c r="W230" s="27" t="str">
        <f aca="true">IF(OR(T230="",LEFT(O230,6)="Closed"),"",TODAY()-T230)</f>
        <v/>
      </c>
      <c r="X230" s="27" t="str">
        <f aca="true">IF(OR(S230="",LEFT(O230,6)="Closed"),"",IF(TODAY()&gt;S230,"Overdue",""))</f>
        <v/>
      </c>
    </row>
    <row r="231" customFormat="false" ht="15" hidden="false" customHeight="false" outlineLevel="0" collapsed="false">
      <c r="A231" s="20"/>
      <c r="B231" s="20"/>
      <c r="C231" s="20"/>
      <c r="D231" s="20"/>
      <c r="E231" s="20"/>
      <c r="F231" s="20"/>
      <c r="G231" s="20"/>
      <c r="H231" s="27" t="str">
        <f aca="false">IF(OR(F231="",G231=""),"",IFERROR(INDEX(Lists!$U$3:$Y$5,MATCH(F231,Lists!$T$3:$T$5,0),MATCH(G231,Lists!$U$2:$Y$2,0)),"Check inputs"))</f>
        <v/>
      </c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1"/>
      <c r="T231" s="21"/>
      <c r="U231" s="20"/>
      <c r="V231" s="20"/>
      <c r="W231" s="27" t="str">
        <f aca="true">IF(OR(T231="",LEFT(O231,6)="Closed"),"",TODAY()-T231)</f>
        <v/>
      </c>
      <c r="X231" s="27" t="str">
        <f aca="true">IF(OR(S231="",LEFT(O231,6)="Closed"),"",IF(TODAY()&gt;S231,"Overdue",""))</f>
        <v/>
      </c>
    </row>
    <row r="232" customFormat="false" ht="15" hidden="false" customHeight="false" outlineLevel="0" collapsed="false">
      <c r="A232" s="20"/>
      <c r="B232" s="20"/>
      <c r="C232" s="20"/>
      <c r="D232" s="20"/>
      <c r="E232" s="20"/>
      <c r="F232" s="20"/>
      <c r="G232" s="20"/>
      <c r="H232" s="27" t="str">
        <f aca="false">IF(OR(F232="",G232=""),"",IFERROR(INDEX(Lists!$U$3:$Y$5,MATCH(F232,Lists!$T$3:$T$5,0),MATCH(G232,Lists!$U$2:$Y$2,0)),"Check inputs"))</f>
        <v/>
      </c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1"/>
      <c r="T232" s="21"/>
      <c r="U232" s="20"/>
      <c r="V232" s="20"/>
      <c r="W232" s="27" t="str">
        <f aca="true">IF(OR(T232="",LEFT(O232,6)="Closed"),"",TODAY()-T232)</f>
        <v/>
      </c>
      <c r="X232" s="27" t="str">
        <f aca="true">IF(OR(S232="",LEFT(O232,6)="Closed"),"",IF(TODAY()&gt;S232,"Overdue",""))</f>
        <v/>
      </c>
    </row>
    <row r="233" customFormat="false" ht="15" hidden="false" customHeight="false" outlineLevel="0" collapsed="false">
      <c r="A233" s="20"/>
      <c r="B233" s="20"/>
      <c r="C233" s="20"/>
      <c r="D233" s="20"/>
      <c r="E233" s="20"/>
      <c r="F233" s="20"/>
      <c r="G233" s="20"/>
      <c r="H233" s="27" t="str">
        <f aca="false">IF(OR(F233="",G233=""),"",IFERROR(INDEX(Lists!$U$3:$Y$5,MATCH(F233,Lists!$T$3:$T$5,0),MATCH(G233,Lists!$U$2:$Y$2,0)),"Check inputs"))</f>
        <v/>
      </c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1"/>
      <c r="T233" s="21"/>
      <c r="U233" s="20"/>
      <c r="V233" s="20"/>
      <c r="W233" s="27" t="str">
        <f aca="true">IF(OR(T233="",LEFT(O233,6)="Closed"),"",TODAY()-T233)</f>
        <v/>
      </c>
      <c r="X233" s="27" t="str">
        <f aca="true">IF(OR(S233="",LEFT(O233,6)="Closed"),"",IF(TODAY()&gt;S233,"Overdue",""))</f>
        <v/>
      </c>
    </row>
    <row r="234" customFormat="false" ht="15" hidden="false" customHeight="false" outlineLevel="0" collapsed="false">
      <c r="A234" s="20"/>
      <c r="B234" s="20"/>
      <c r="C234" s="20"/>
      <c r="D234" s="20"/>
      <c r="E234" s="20"/>
      <c r="F234" s="20"/>
      <c r="G234" s="20"/>
      <c r="H234" s="27" t="str">
        <f aca="false">IF(OR(F234="",G234=""),"",IFERROR(INDEX(Lists!$U$3:$Y$5,MATCH(F234,Lists!$T$3:$T$5,0),MATCH(G234,Lists!$U$2:$Y$2,0)),"Check inputs"))</f>
        <v/>
      </c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1"/>
      <c r="T234" s="21"/>
      <c r="U234" s="20"/>
      <c r="V234" s="20"/>
      <c r="W234" s="27" t="str">
        <f aca="true">IF(OR(T234="",LEFT(O234,6)="Closed"),"",TODAY()-T234)</f>
        <v/>
      </c>
      <c r="X234" s="27" t="str">
        <f aca="true">IF(OR(S234="",LEFT(O234,6)="Closed"),"",IF(TODAY()&gt;S234,"Overdue",""))</f>
        <v/>
      </c>
    </row>
    <row r="235" customFormat="false" ht="15" hidden="false" customHeight="false" outlineLevel="0" collapsed="false">
      <c r="A235" s="20"/>
      <c r="B235" s="20"/>
      <c r="C235" s="20"/>
      <c r="D235" s="20"/>
      <c r="E235" s="20"/>
      <c r="F235" s="20"/>
      <c r="G235" s="20"/>
      <c r="H235" s="27" t="str">
        <f aca="false">IF(OR(F235="",G235=""),"",IFERROR(INDEX(Lists!$U$3:$Y$5,MATCH(F235,Lists!$T$3:$T$5,0),MATCH(G235,Lists!$U$2:$Y$2,0)),"Check inputs"))</f>
        <v/>
      </c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1"/>
      <c r="T235" s="21"/>
      <c r="U235" s="20"/>
      <c r="V235" s="20"/>
      <c r="W235" s="27" t="str">
        <f aca="true">IF(OR(T235="",LEFT(O235,6)="Closed"),"",TODAY()-T235)</f>
        <v/>
      </c>
      <c r="X235" s="27" t="str">
        <f aca="true">IF(OR(S235="",LEFT(O235,6)="Closed"),"",IF(TODAY()&gt;S235,"Overdue",""))</f>
        <v/>
      </c>
    </row>
    <row r="236" customFormat="false" ht="15" hidden="false" customHeight="false" outlineLevel="0" collapsed="false">
      <c r="A236" s="20"/>
      <c r="B236" s="20"/>
      <c r="C236" s="20"/>
      <c r="D236" s="20"/>
      <c r="E236" s="20"/>
      <c r="F236" s="20"/>
      <c r="G236" s="20"/>
      <c r="H236" s="27" t="str">
        <f aca="false">IF(OR(F236="",G236=""),"",IFERROR(INDEX(Lists!$U$3:$Y$5,MATCH(F236,Lists!$T$3:$T$5,0),MATCH(G236,Lists!$U$2:$Y$2,0)),"Check inputs"))</f>
        <v/>
      </c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1"/>
      <c r="T236" s="21"/>
      <c r="U236" s="20"/>
      <c r="V236" s="20"/>
      <c r="W236" s="27" t="str">
        <f aca="true">IF(OR(T236="",LEFT(O236,6)="Closed"),"",TODAY()-T236)</f>
        <v/>
      </c>
      <c r="X236" s="27" t="str">
        <f aca="true">IF(OR(S236="",LEFT(O236,6)="Closed"),"",IF(TODAY()&gt;S236,"Overdue",""))</f>
        <v/>
      </c>
    </row>
    <row r="237" customFormat="false" ht="15" hidden="false" customHeight="false" outlineLevel="0" collapsed="false">
      <c r="A237" s="20"/>
      <c r="B237" s="20"/>
      <c r="C237" s="20"/>
      <c r="D237" s="20"/>
      <c r="E237" s="20"/>
      <c r="F237" s="20"/>
      <c r="G237" s="20"/>
      <c r="H237" s="27" t="str">
        <f aca="false">IF(OR(F237="",G237=""),"",IFERROR(INDEX(Lists!$U$3:$Y$5,MATCH(F237,Lists!$T$3:$T$5,0),MATCH(G237,Lists!$U$2:$Y$2,0)),"Check inputs"))</f>
        <v/>
      </c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1"/>
      <c r="T237" s="21"/>
      <c r="U237" s="20"/>
      <c r="V237" s="20"/>
      <c r="W237" s="27" t="str">
        <f aca="true">IF(OR(T237="",LEFT(O237,6)="Closed"),"",TODAY()-T237)</f>
        <v/>
      </c>
      <c r="X237" s="27" t="str">
        <f aca="true">IF(OR(S237="",LEFT(O237,6)="Closed"),"",IF(TODAY()&gt;S237,"Overdue",""))</f>
        <v/>
      </c>
    </row>
    <row r="238" customFormat="false" ht="15" hidden="false" customHeight="false" outlineLevel="0" collapsed="false">
      <c r="A238" s="20"/>
      <c r="B238" s="20"/>
      <c r="C238" s="20"/>
      <c r="D238" s="20"/>
      <c r="E238" s="20"/>
      <c r="F238" s="20"/>
      <c r="G238" s="20"/>
      <c r="H238" s="27" t="str">
        <f aca="false">IF(OR(F238="",G238=""),"",IFERROR(INDEX(Lists!$U$3:$Y$5,MATCH(F238,Lists!$T$3:$T$5,0),MATCH(G238,Lists!$U$2:$Y$2,0)),"Check inputs"))</f>
        <v/>
      </c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1"/>
      <c r="T238" s="21"/>
      <c r="U238" s="20"/>
      <c r="V238" s="20"/>
      <c r="W238" s="27" t="str">
        <f aca="true">IF(OR(T238="",LEFT(O238,6)="Closed"),"",TODAY()-T238)</f>
        <v/>
      </c>
      <c r="X238" s="27" t="str">
        <f aca="true">IF(OR(S238="",LEFT(O238,6)="Closed"),"",IF(TODAY()&gt;S238,"Overdue",""))</f>
        <v/>
      </c>
    </row>
    <row r="239" customFormat="false" ht="15" hidden="false" customHeight="false" outlineLevel="0" collapsed="false">
      <c r="A239" s="20"/>
      <c r="B239" s="20"/>
      <c r="C239" s="20"/>
      <c r="D239" s="20"/>
      <c r="E239" s="20"/>
      <c r="F239" s="20"/>
      <c r="G239" s="20"/>
      <c r="H239" s="27" t="str">
        <f aca="false">IF(OR(F239="",G239=""),"",IFERROR(INDEX(Lists!$U$3:$Y$5,MATCH(F239,Lists!$T$3:$T$5,0),MATCH(G239,Lists!$U$2:$Y$2,0)),"Check inputs"))</f>
        <v/>
      </c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1"/>
      <c r="T239" s="21"/>
      <c r="U239" s="20"/>
      <c r="V239" s="20"/>
      <c r="W239" s="27" t="str">
        <f aca="true">IF(OR(T239="",LEFT(O239,6)="Closed"),"",TODAY()-T239)</f>
        <v/>
      </c>
      <c r="X239" s="27" t="str">
        <f aca="true">IF(OR(S239="",LEFT(O239,6)="Closed"),"",IF(TODAY()&gt;S239,"Overdue",""))</f>
        <v/>
      </c>
    </row>
    <row r="240" customFormat="false" ht="15" hidden="false" customHeight="false" outlineLevel="0" collapsed="false">
      <c r="A240" s="20"/>
      <c r="B240" s="20"/>
      <c r="C240" s="20"/>
      <c r="D240" s="20"/>
      <c r="E240" s="20"/>
      <c r="F240" s="20"/>
      <c r="G240" s="20"/>
      <c r="H240" s="27" t="str">
        <f aca="false">IF(OR(F240="",G240=""),"",IFERROR(INDEX(Lists!$U$3:$Y$5,MATCH(F240,Lists!$T$3:$T$5,0),MATCH(G240,Lists!$U$2:$Y$2,0)),"Check inputs"))</f>
        <v/>
      </c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1"/>
      <c r="T240" s="21"/>
      <c r="U240" s="20"/>
      <c r="V240" s="20"/>
      <c r="W240" s="27" t="str">
        <f aca="true">IF(OR(T240="",LEFT(O240,6)="Closed"),"",TODAY()-T240)</f>
        <v/>
      </c>
      <c r="X240" s="27" t="str">
        <f aca="true">IF(OR(S240="",LEFT(O240,6)="Closed"),"",IF(TODAY()&gt;S240,"Overdue",""))</f>
        <v/>
      </c>
    </row>
    <row r="241" customFormat="false" ht="15" hidden="false" customHeight="false" outlineLevel="0" collapsed="false">
      <c r="A241" s="20"/>
      <c r="B241" s="20"/>
      <c r="C241" s="20"/>
      <c r="D241" s="20"/>
      <c r="E241" s="20"/>
      <c r="F241" s="20"/>
      <c r="G241" s="20"/>
      <c r="H241" s="27" t="str">
        <f aca="false">IF(OR(F241="",G241=""),"",IFERROR(INDEX(Lists!$U$3:$Y$5,MATCH(F241,Lists!$T$3:$T$5,0),MATCH(G241,Lists!$U$2:$Y$2,0)),"Check inputs"))</f>
        <v/>
      </c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1"/>
      <c r="T241" s="21"/>
      <c r="U241" s="20"/>
      <c r="V241" s="20"/>
      <c r="W241" s="27" t="str">
        <f aca="true">IF(OR(T241="",LEFT(O241,6)="Closed"),"",TODAY()-T241)</f>
        <v/>
      </c>
      <c r="X241" s="27" t="str">
        <f aca="true">IF(OR(S241="",LEFT(O241,6)="Closed"),"",IF(TODAY()&gt;S241,"Overdue",""))</f>
        <v/>
      </c>
    </row>
    <row r="242" customFormat="false" ht="15" hidden="false" customHeight="false" outlineLevel="0" collapsed="false">
      <c r="A242" s="20"/>
      <c r="B242" s="20"/>
      <c r="C242" s="20"/>
      <c r="D242" s="20"/>
      <c r="E242" s="20"/>
      <c r="F242" s="20"/>
      <c r="G242" s="20"/>
      <c r="H242" s="27" t="str">
        <f aca="false">IF(OR(F242="",G242=""),"",IFERROR(INDEX(Lists!$U$3:$Y$5,MATCH(F242,Lists!$T$3:$T$5,0),MATCH(G242,Lists!$U$2:$Y$2,0)),"Check inputs"))</f>
        <v/>
      </c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1"/>
      <c r="T242" s="21"/>
      <c r="U242" s="20"/>
      <c r="V242" s="20"/>
      <c r="W242" s="27" t="str">
        <f aca="true">IF(OR(T242="",LEFT(O242,6)="Closed"),"",TODAY()-T242)</f>
        <v/>
      </c>
      <c r="X242" s="27" t="str">
        <f aca="true">IF(OR(S242="",LEFT(O242,6)="Closed"),"",IF(TODAY()&gt;S242,"Overdue",""))</f>
        <v/>
      </c>
    </row>
    <row r="243" customFormat="false" ht="15" hidden="false" customHeight="false" outlineLevel="0" collapsed="false">
      <c r="A243" s="20"/>
      <c r="B243" s="20"/>
      <c r="C243" s="20"/>
      <c r="D243" s="20"/>
      <c r="E243" s="20"/>
      <c r="F243" s="20"/>
      <c r="G243" s="20"/>
      <c r="H243" s="27" t="str">
        <f aca="false">IF(OR(F243="",G243=""),"",IFERROR(INDEX(Lists!$U$3:$Y$5,MATCH(F243,Lists!$T$3:$T$5,0),MATCH(G243,Lists!$U$2:$Y$2,0)),"Check inputs"))</f>
        <v/>
      </c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1"/>
      <c r="T243" s="21"/>
      <c r="U243" s="20"/>
      <c r="V243" s="20"/>
      <c r="W243" s="27" t="str">
        <f aca="true">IF(OR(T243="",LEFT(O243,6)="Closed"),"",TODAY()-T243)</f>
        <v/>
      </c>
      <c r="X243" s="27" t="str">
        <f aca="true">IF(OR(S243="",LEFT(O243,6)="Closed"),"",IF(TODAY()&gt;S243,"Overdue",""))</f>
        <v/>
      </c>
    </row>
    <row r="244" customFormat="false" ht="15" hidden="false" customHeight="false" outlineLevel="0" collapsed="false">
      <c r="A244" s="20"/>
      <c r="B244" s="20"/>
      <c r="C244" s="20"/>
      <c r="D244" s="20"/>
      <c r="E244" s="20"/>
      <c r="F244" s="20"/>
      <c r="G244" s="20"/>
      <c r="H244" s="27" t="str">
        <f aca="false">IF(OR(F244="",G244=""),"",IFERROR(INDEX(Lists!$U$3:$Y$5,MATCH(F244,Lists!$T$3:$T$5,0),MATCH(G244,Lists!$U$2:$Y$2,0)),"Check inputs"))</f>
        <v/>
      </c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1"/>
      <c r="T244" s="21"/>
      <c r="U244" s="20"/>
      <c r="V244" s="20"/>
      <c r="W244" s="27" t="str">
        <f aca="true">IF(OR(T244="",LEFT(O244,6)="Closed"),"",TODAY()-T244)</f>
        <v/>
      </c>
      <c r="X244" s="27" t="str">
        <f aca="true">IF(OR(S244="",LEFT(O244,6)="Closed"),"",IF(TODAY()&gt;S244,"Overdue",""))</f>
        <v/>
      </c>
    </row>
    <row r="245" customFormat="false" ht="15" hidden="false" customHeight="false" outlineLevel="0" collapsed="false">
      <c r="A245" s="20"/>
      <c r="B245" s="20"/>
      <c r="C245" s="20"/>
      <c r="D245" s="20"/>
      <c r="E245" s="20"/>
      <c r="F245" s="20"/>
      <c r="G245" s="20"/>
      <c r="H245" s="27" t="str">
        <f aca="false">IF(OR(F245="",G245=""),"",IFERROR(INDEX(Lists!$U$3:$Y$5,MATCH(F245,Lists!$T$3:$T$5,0),MATCH(G245,Lists!$U$2:$Y$2,0)),"Check inputs"))</f>
        <v/>
      </c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1"/>
      <c r="T245" s="21"/>
      <c r="U245" s="20"/>
      <c r="V245" s="20"/>
      <c r="W245" s="27" t="str">
        <f aca="true">IF(OR(T245="",LEFT(O245,6)="Closed"),"",TODAY()-T245)</f>
        <v/>
      </c>
      <c r="X245" s="27" t="str">
        <f aca="true">IF(OR(S245="",LEFT(O245,6)="Closed"),"",IF(TODAY()&gt;S245,"Overdue",""))</f>
        <v/>
      </c>
    </row>
    <row r="246" customFormat="false" ht="15" hidden="false" customHeight="false" outlineLevel="0" collapsed="false">
      <c r="A246" s="20"/>
      <c r="B246" s="20"/>
      <c r="C246" s="20"/>
      <c r="D246" s="20"/>
      <c r="E246" s="20"/>
      <c r="F246" s="20"/>
      <c r="G246" s="20"/>
      <c r="H246" s="27" t="str">
        <f aca="false">IF(OR(F246="",G246=""),"",IFERROR(INDEX(Lists!$U$3:$Y$5,MATCH(F246,Lists!$T$3:$T$5,0),MATCH(G246,Lists!$U$2:$Y$2,0)),"Check inputs"))</f>
        <v/>
      </c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1"/>
      <c r="T246" s="21"/>
      <c r="U246" s="20"/>
      <c r="V246" s="20"/>
      <c r="W246" s="27" t="str">
        <f aca="true">IF(OR(T246="",LEFT(O246,6)="Closed"),"",TODAY()-T246)</f>
        <v/>
      </c>
      <c r="X246" s="27" t="str">
        <f aca="true">IF(OR(S246="",LEFT(O246,6)="Closed"),"",IF(TODAY()&gt;S246,"Overdue",""))</f>
        <v/>
      </c>
    </row>
    <row r="247" customFormat="false" ht="15" hidden="false" customHeight="false" outlineLevel="0" collapsed="false">
      <c r="A247" s="20"/>
      <c r="B247" s="20"/>
      <c r="C247" s="20"/>
      <c r="D247" s="20"/>
      <c r="E247" s="20"/>
      <c r="F247" s="20"/>
      <c r="G247" s="20"/>
      <c r="H247" s="27" t="str">
        <f aca="false">IF(OR(F247="",G247=""),"",IFERROR(INDEX(Lists!$U$3:$Y$5,MATCH(F247,Lists!$T$3:$T$5,0),MATCH(G247,Lists!$U$2:$Y$2,0)),"Check inputs"))</f>
        <v/>
      </c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1"/>
      <c r="T247" s="21"/>
      <c r="U247" s="20"/>
      <c r="V247" s="20"/>
      <c r="W247" s="27" t="str">
        <f aca="true">IF(OR(T247="",LEFT(O247,6)="Closed"),"",TODAY()-T247)</f>
        <v/>
      </c>
      <c r="X247" s="27" t="str">
        <f aca="true">IF(OR(S247="",LEFT(O247,6)="Closed"),"",IF(TODAY()&gt;S247,"Overdue",""))</f>
        <v/>
      </c>
    </row>
    <row r="248" customFormat="false" ht="15" hidden="false" customHeight="false" outlineLevel="0" collapsed="false">
      <c r="A248" s="20"/>
      <c r="B248" s="20"/>
      <c r="C248" s="20"/>
      <c r="D248" s="20"/>
      <c r="E248" s="20"/>
      <c r="F248" s="20"/>
      <c r="G248" s="20"/>
      <c r="H248" s="27" t="str">
        <f aca="false">IF(OR(F248="",G248=""),"",IFERROR(INDEX(Lists!$U$3:$Y$5,MATCH(F248,Lists!$T$3:$T$5,0),MATCH(G248,Lists!$U$2:$Y$2,0)),"Check inputs"))</f>
        <v/>
      </c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1"/>
      <c r="T248" s="21"/>
      <c r="U248" s="20"/>
      <c r="V248" s="20"/>
      <c r="W248" s="27" t="str">
        <f aca="true">IF(OR(T248="",LEFT(O248,6)="Closed"),"",TODAY()-T248)</f>
        <v/>
      </c>
      <c r="X248" s="27" t="str">
        <f aca="true">IF(OR(S248="",LEFT(O248,6)="Closed"),"",IF(TODAY()&gt;S248,"Overdue",""))</f>
        <v/>
      </c>
    </row>
    <row r="249" customFormat="false" ht="15" hidden="false" customHeight="false" outlineLevel="0" collapsed="false">
      <c r="A249" s="20"/>
      <c r="B249" s="20"/>
      <c r="C249" s="20"/>
      <c r="D249" s="20"/>
      <c r="E249" s="20"/>
      <c r="F249" s="20"/>
      <c r="G249" s="20"/>
      <c r="H249" s="27" t="str">
        <f aca="false">IF(OR(F249="",G249=""),"",IFERROR(INDEX(Lists!$U$3:$Y$5,MATCH(F249,Lists!$T$3:$T$5,0),MATCH(G249,Lists!$U$2:$Y$2,0)),"Check inputs"))</f>
        <v/>
      </c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1"/>
      <c r="T249" s="21"/>
      <c r="U249" s="20"/>
      <c r="V249" s="20"/>
      <c r="W249" s="27" t="str">
        <f aca="true">IF(OR(T249="",LEFT(O249,6)="Closed"),"",TODAY()-T249)</f>
        <v/>
      </c>
      <c r="X249" s="27" t="str">
        <f aca="true">IF(OR(S249="",LEFT(O249,6)="Closed"),"",IF(TODAY()&gt;S249,"Overdue",""))</f>
        <v/>
      </c>
    </row>
    <row r="250" customFormat="false" ht="15" hidden="false" customHeight="false" outlineLevel="0" collapsed="false">
      <c r="A250" s="20"/>
      <c r="B250" s="20"/>
      <c r="C250" s="20"/>
      <c r="D250" s="20"/>
      <c r="E250" s="20"/>
      <c r="F250" s="20"/>
      <c r="G250" s="20"/>
      <c r="H250" s="27" t="str">
        <f aca="false">IF(OR(F250="",G250=""),"",IFERROR(INDEX(Lists!$U$3:$Y$5,MATCH(F250,Lists!$T$3:$T$5,0),MATCH(G250,Lists!$U$2:$Y$2,0)),"Check inputs"))</f>
        <v/>
      </c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1"/>
      <c r="T250" s="21"/>
      <c r="U250" s="20"/>
      <c r="V250" s="20"/>
      <c r="W250" s="27" t="str">
        <f aca="true">IF(OR(T250="",LEFT(O250,6)="Closed"),"",TODAY()-T250)</f>
        <v/>
      </c>
      <c r="X250" s="27" t="str">
        <f aca="true">IF(OR(S250="",LEFT(O250,6)="Closed"),"",IF(TODAY()&gt;S250,"Overdue",""))</f>
        <v/>
      </c>
    </row>
    <row r="251" customFormat="false" ht="15" hidden="false" customHeight="false" outlineLevel="0" collapsed="false">
      <c r="A251" s="20"/>
      <c r="B251" s="20"/>
      <c r="C251" s="20"/>
      <c r="D251" s="20"/>
      <c r="E251" s="20"/>
      <c r="F251" s="20"/>
      <c r="G251" s="20"/>
      <c r="H251" s="27" t="str">
        <f aca="false">IF(OR(F251="",G251=""),"",IFERROR(INDEX(Lists!$U$3:$Y$5,MATCH(F251,Lists!$T$3:$T$5,0),MATCH(G251,Lists!$U$2:$Y$2,0)),"Check inputs"))</f>
        <v/>
      </c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1"/>
      <c r="T251" s="21"/>
      <c r="U251" s="20"/>
      <c r="V251" s="20"/>
      <c r="W251" s="27" t="str">
        <f aca="true">IF(OR(T251="",LEFT(O251,6)="Closed"),"",TODAY()-T251)</f>
        <v/>
      </c>
      <c r="X251" s="27" t="str">
        <f aca="true">IF(OR(S251="",LEFT(O251,6)="Closed"),"",IF(TODAY()&gt;S251,"Overdue",""))</f>
        <v/>
      </c>
    </row>
    <row r="252" customFormat="false" ht="15" hidden="false" customHeight="false" outlineLevel="0" collapsed="false">
      <c r="A252" s="20"/>
      <c r="B252" s="20"/>
      <c r="C252" s="20"/>
      <c r="D252" s="20"/>
      <c r="E252" s="20"/>
      <c r="F252" s="20"/>
      <c r="G252" s="20"/>
      <c r="H252" s="27" t="str">
        <f aca="false">IF(OR(F252="",G252=""),"",IFERROR(INDEX(Lists!$U$3:$Y$5,MATCH(F252,Lists!$T$3:$T$5,0),MATCH(G252,Lists!$U$2:$Y$2,0)),"Check inputs"))</f>
        <v/>
      </c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1"/>
      <c r="T252" s="21"/>
      <c r="U252" s="20"/>
      <c r="V252" s="20"/>
      <c r="W252" s="27" t="str">
        <f aca="true">IF(OR(T252="",LEFT(O252,6)="Closed"),"",TODAY()-T252)</f>
        <v/>
      </c>
      <c r="X252" s="27" t="str">
        <f aca="true">IF(OR(S252="",LEFT(O252,6)="Closed"),"",IF(TODAY()&gt;S252,"Overdue",""))</f>
        <v/>
      </c>
    </row>
    <row r="253" customFormat="false" ht="15" hidden="false" customHeight="false" outlineLevel="0" collapsed="false">
      <c r="A253" s="20"/>
      <c r="B253" s="20"/>
      <c r="C253" s="20"/>
      <c r="D253" s="20"/>
      <c r="E253" s="20"/>
      <c r="F253" s="20"/>
      <c r="G253" s="20"/>
      <c r="H253" s="27" t="str">
        <f aca="false">IF(OR(F253="",G253=""),"",IFERROR(INDEX(Lists!$U$3:$Y$5,MATCH(F253,Lists!$T$3:$T$5,0),MATCH(G253,Lists!$U$2:$Y$2,0)),"Check inputs"))</f>
        <v/>
      </c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1"/>
      <c r="T253" s="21"/>
      <c r="U253" s="20"/>
      <c r="V253" s="20"/>
      <c r="W253" s="27" t="str">
        <f aca="true">IF(OR(T253="",LEFT(O253,6)="Closed"),"",TODAY()-T253)</f>
        <v/>
      </c>
      <c r="X253" s="27" t="str">
        <f aca="true">IF(OR(S253="",LEFT(O253,6)="Closed"),"",IF(TODAY()&gt;S253,"Overdue",""))</f>
        <v/>
      </c>
    </row>
    <row r="254" customFormat="false" ht="15" hidden="false" customHeight="false" outlineLevel="0" collapsed="false">
      <c r="A254" s="20"/>
      <c r="B254" s="20"/>
      <c r="C254" s="20"/>
      <c r="D254" s="20"/>
      <c r="E254" s="20"/>
      <c r="F254" s="20"/>
      <c r="G254" s="20"/>
      <c r="H254" s="27" t="str">
        <f aca="false">IF(OR(F254="",G254=""),"",IFERROR(INDEX(Lists!$U$3:$Y$5,MATCH(F254,Lists!$T$3:$T$5,0),MATCH(G254,Lists!$U$2:$Y$2,0)),"Check inputs"))</f>
        <v/>
      </c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1"/>
      <c r="T254" s="21"/>
      <c r="U254" s="20"/>
      <c r="V254" s="20"/>
      <c r="W254" s="27" t="str">
        <f aca="true">IF(OR(T254="",LEFT(O254,6)="Closed"),"",TODAY()-T254)</f>
        <v/>
      </c>
      <c r="X254" s="27" t="str">
        <f aca="true">IF(OR(S254="",LEFT(O254,6)="Closed"),"",IF(TODAY()&gt;S254,"Overdue",""))</f>
        <v/>
      </c>
    </row>
    <row r="255" customFormat="false" ht="15" hidden="false" customHeight="false" outlineLevel="0" collapsed="false">
      <c r="A255" s="20"/>
      <c r="B255" s="20"/>
      <c r="C255" s="20"/>
      <c r="D255" s="20"/>
      <c r="E255" s="20"/>
      <c r="F255" s="20"/>
      <c r="G255" s="20"/>
      <c r="H255" s="27" t="str">
        <f aca="false">IF(OR(F255="",G255=""),"",IFERROR(INDEX(Lists!$U$3:$Y$5,MATCH(F255,Lists!$T$3:$T$5,0),MATCH(G255,Lists!$U$2:$Y$2,0)),"Check inputs"))</f>
        <v/>
      </c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1"/>
      <c r="T255" s="21"/>
      <c r="U255" s="20"/>
      <c r="V255" s="20"/>
      <c r="W255" s="27" t="str">
        <f aca="true">IF(OR(T255="",LEFT(O255,6)="Closed"),"",TODAY()-T255)</f>
        <v/>
      </c>
      <c r="X255" s="27" t="str">
        <f aca="true">IF(OR(S255="",LEFT(O255,6)="Closed"),"",IF(TODAY()&gt;S255,"Overdue",""))</f>
        <v/>
      </c>
    </row>
    <row r="256" customFormat="false" ht="15" hidden="false" customHeight="false" outlineLevel="0" collapsed="false">
      <c r="A256" s="20"/>
      <c r="B256" s="20"/>
      <c r="C256" s="20"/>
      <c r="D256" s="20"/>
      <c r="E256" s="20"/>
      <c r="F256" s="20"/>
      <c r="G256" s="20"/>
      <c r="H256" s="27" t="str">
        <f aca="false">IF(OR(F256="",G256=""),"",IFERROR(INDEX(Lists!$U$3:$Y$5,MATCH(F256,Lists!$T$3:$T$5,0),MATCH(G256,Lists!$U$2:$Y$2,0)),"Check inputs"))</f>
        <v/>
      </c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1"/>
      <c r="T256" s="21"/>
      <c r="U256" s="20"/>
      <c r="V256" s="20"/>
      <c r="W256" s="27" t="str">
        <f aca="true">IF(OR(T256="",LEFT(O256,6)="Closed"),"",TODAY()-T256)</f>
        <v/>
      </c>
      <c r="X256" s="27" t="str">
        <f aca="true">IF(OR(S256="",LEFT(O256,6)="Closed"),"",IF(TODAY()&gt;S256,"Overdue",""))</f>
        <v/>
      </c>
    </row>
    <row r="257" customFormat="false" ht="15" hidden="false" customHeight="false" outlineLevel="0" collapsed="false">
      <c r="A257" s="20"/>
      <c r="B257" s="20"/>
      <c r="C257" s="20"/>
      <c r="D257" s="20"/>
      <c r="E257" s="20"/>
      <c r="F257" s="20"/>
      <c r="G257" s="20"/>
      <c r="H257" s="27" t="str">
        <f aca="false">IF(OR(F257="",G257=""),"",IFERROR(INDEX(Lists!$U$3:$Y$5,MATCH(F257,Lists!$T$3:$T$5,0),MATCH(G257,Lists!$U$2:$Y$2,0)),"Check inputs"))</f>
        <v/>
      </c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1"/>
      <c r="T257" s="21"/>
      <c r="U257" s="20"/>
      <c r="V257" s="20"/>
      <c r="W257" s="27" t="str">
        <f aca="true">IF(OR(T257="",LEFT(O257,6)="Closed"),"",TODAY()-T257)</f>
        <v/>
      </c>
      <c r="X257" s="27" t="str">
        <f aca="true">IF(OR(S257="",LEFT(O257,6)="Closed"),"",IF(TODAY()&gt;S257,"Overdue",""))</f>
        <v/>
      </c>
    </row>
    <row r="258" customFormat="false" ht="15" hidden="false" customHeight="false" outlineLevel="0" collapsed="false">
      <c r="A258" s="20"/>
      <c r="B258" s="20"/>
      <c r="C258" s="20"/>
      <c r="D258" s="20"/>
      <c r="E258" s="20"/>
      <c r="F258" s="20"/>
      <c r="G258" s="20"/>
      <c r="H258" s="27" t="str">
        <f aca="false">IF(OR(F258="",G258=""),"",IFERROR(INDEX(Lists!$U$3:$Y$5,MATCH(F258,Lists!$T$3:$T$5,0),MATCH(G258,Lists!$U$2:$Y$2,0)),"Check inputs"))</f>
        <v/>
      </c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1"/>
      <c r="T258" s="21"/>
      <c r="U258" s="20"/>
      <c r="V258" s="20"/>
      <c r="W258" s="27" t="str">
        <f aca="true">IF(OR(T258="",LEFT(O258,6)="Closed"),"",TODAY()-T258)</f>
        <v/>
      </c>
      <c r="X258" s="27" t="str">
        <f aca="true">IF(OR(S258="",LEFT(O258,6)="Closed"),"",IF(TODAY()&gt;S258,"Overdue",""))</f>
        <v/>
      </c>
    </row>
    <row r="259" customFormat="false" ht="15" hidden="false" customHeight="false" outlineLevel="0" collapsed="false">
      <c r="A259" s="20"/>
      <c r="B259" s="20"/>
      <c r="C259" s="20"/>
      <c r="D259" s="20"/>
      <c r="E259" s="20"/>
      <c r="F259" s="20"/>
      <c r="G259" s="20"/>
      <c r="H259" s="27" t="str">
        <f aca="false">IF(OR(F259="",G259=""),"",IFERROR(INDEX(Lists!$U$3:$Y$5,MATCH(F259,Lists!$T$3:$T$5,0),MATCH(G259,Lists!$U$2:$Y$2,0)),"Check inputs"))</f>
        <v/>
      </c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1"/>
      <c r="T259" s="21"/>
      <c r="U259" s="20"/>
      <c r="V259" s="20"/>
      <c r="W259" s="27" t="str">
        <f aca="true">IF(OR(T259="",LEFT(O259,6)="Closed"),"",TODAY()-T259)</f>
        <v/>
      </c>
      <c r="X259" s="27" t="str">
        <f aca="true">IF(OR(S259="",LEFT(O259,6)="Closed"),"",IF(TODAY()&gt;S259,"Overdue",""))</f>
        <v/>
      </c>
    </row>
    <row r="260" customFormat="false" ht="15" hidden="false" customHeight="false" outlineLevel="0" collapsed="false">
      <c r="A260" s="20"/>
      <c r="B260" s="20"/>
      <c r="C260" s="20"/>
      <c r="D260" s="20"/>
      <c r="E260" s="20"/>
      <c r="F260" s="20"/>
      <c r="G260" s="20"/>
      <c r="H260" s="27" t="str">
        <f aca="false">IF(OR(F260="",G260=""),"",IFERROR(INDEX(Lists!$U$3:$Y$5,MATCH(F260,Lists!$T$3:$T$5,0),MATCH(G260,Lists!$U$2:$Y$2,0)),"Check inputs"))</f>
        <v/>
      </c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1"/>
      <c r="T260" s="21"/>
      <c r="U260" s="20"/>
      <c r="V260" s="20"/>
      <c r="W260" s="27" t="str">
        <f aca="true">IF(OR(T260="",LEFT(O260,6)="Closed"),"",TODAY()-T260)</f>
        <v/>
      </c>
      <c r="X260" s="27" t="str">
        <f aca="true">IF(OR(S260="",LEFT(O260,6)="Closed"),"",IF(TODAY()&gt;S260,"Overdue",""))</f>
        <v/>
      </c>
    </row>
    <row r="261" customFormat="false" ht="15" hidden="false" customHeight="false" outlineLevel="0" collapsed="false">
      <c r="A261" s="20"/>
      <c r="B261" s="20"/>
      <c r="C261" s="20"/>
      <c r="D261" s="20"/>
      <c r="E261" s="20"/>
      <c r="F261" s="20"/>
      <c r="G261" s="20"/>
      <c r="H261" s="27" t="str">
        <f aca="false">IF(OR(F261="",G261=""),"",IFERROR(INDEX(Lists!$U$3:$Y$5,MATCH(F261,Lists!$T$3:$T$5,0),MATCH(G261,Lists!$U$2:$Y$2,0)),"Check inputs"))</f>
        <v/>
      </c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1"/>
      <c r="T261" s="21"/>
      <c r="U261" s="20"/>
      <c r="V261" s="20"/>
      <c r="W261" s="27" t="str">
        <f aca="true">IF(OR(T261="",LEFT(O261,6)="Closed"),"",TODAY()-T261)</f>
        <v/>
      </c>
      <c r="X261" s="27" t="str">
        <f aca="true">IF(OR(S261="",LEFT(O261,6)="Closed"),"",IF(TODAY()&gt;S261,"Overdue",""))</f>
        <v/>
      </c>
    </row>
    <row r="262" customFormat="false" ht="15" hidden="false" customHeight="false" outlineLevel="0" collapsed="false">
      <c r="A262" s="20"/>
      <c r="B262" s="20"/>
      <c r="C262" s="20"/>
      <c r="D262" s="20"/>
      <c r="E262" s="20"/>
      <c r="F262" s="20"/>
      <c r="G262" s="20"/>
      <c r="H262" s="27" t="str">
        <f aca="false">IF(OR(F262="",G262=""),"",IFERROR(INDEX(Lists!$U$3:$Y$5,MATCH(F262,Lists!$T$3:$T$5,0),MATCH(G262,Lists!$U$2:$Y$2,0)),"Check inputs"))</f>
        <v/>
      </c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1"/>
      <c r="T262" s="21"/>
      <c r="U262" s="20"/>
      <c r="V262" s="20"/>
      <c r="W262" s="27" t="str">
        <f aca="true">IF(OR(T262="",LEFT(O262,6)="Closed"),"",TODAY()-T262)</f>
        <v/>
      </c>
      <c r="X262" s="27" t="str">
        <f aca="true">IF(OR(S262="",LEFT(O262,6)="Closed"),"",IF(TODAY()&gt;S262,"Overdue",""))</f>
        <v/>
      </c>
    </row>
    <row r="263" customFormat="false" ht="15" hidden="false" customHeight="false" outlineLevel="0" collapsed="false">
      <c r="A263" s="20"/>
      <c r="B263" s="20"/>
      <c r="C263" s="20"/>
      <c r="D263" s="20"/>
      <c r="E263" s="20"/>
      <c r="F263" s="20"/>
      <c r="G263" s="20"/>
      <c r="H263" s="27" t="str">
        <f aca="false">IF(OR(F263="",G263=""),"",IFERROR(INDEX(Lists!$U$3:$Y$5,MATCH(F263,Lists!$T$3:$T$5,0),MATCH(G263,Lists!$U$2:$Y$2,0)),"Check inputs"))</f>
        <v/>
      </c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1"/>
      <c r="T263" s="21"/>
      <c r="U263" s="20"/>
      <c r="V263" s="20"/>
      <c r="W263" s="27" t="str">
        <f aca="true">IF(OR(T263="",LEFT(O263,6)="Closed"),"",TODAY()-T263)</f>
        <v/>
      </c>
      <c r="X263" s="27" t="str">
        <f aca="true">IF(OR(S263="",LEFT(O263,6)="Closed"),"",IF(TODAY()&gt;S263,"Overdue",""))</f>
        <v/>
      </c>
    </row>
    <row r="264" customFormat="false" ht="15" hidden="false" customHeight="false" outlineLevel="0" collapsed="false">
      <c r="A264" s="20"/>
      <c r="B264" s="20"/>
      <c r="C264" s="20"/>
      <c r="D264" s="20"/>
      <c r="E264" s="20"/>
      <c r="F264" s="20"/>
      <c r="G264" s="20"/>
      <c r="H264" s="27" t="str">
        <f aca="false">IF(OR(F264="",G264=""),"",IFERROR(INDEX(Lists!$U$3:$Y$5,MATCH(F264,Lists!$T$3:$T$5,0),MATCH(G264,Lists!$U$2:$Y$2,0)),"Check inputs"))</f>
        <v/>
      </c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1"/>
      <c r="T264" s="21"/>
      <c r="U264" s="20"/>
      <c r="V264" s="20"/>
      <c r="W264" s="27" t="str">
        <f aca="true">IF(OR(T264="",LEFT(O264,6)="Closed"),"",TODAY()-T264)</f>
        <v/>
      </c>
      <c r="X264" s="27" t="str">
        <f aca="true">IF(OR(S264="",LEFT(O264,6)="Closed"),"",IF(TODAY()&gt;S264,"Overdue",""))</f>
        <v/>
      </c>
    </row>
    <row r="265" customFormat="false" ht="15" hidden="false" customHeight="false" outlineLevel="0" collapsed="false">
      <c r="A265" s="20"/>
      <c r="B265" s="20"/>
      <c r="C265" s="20"/>
      <c r="D265" s="20"/>
      <c r="E265" s="20"/>
      <c r="F265" s="20"/>
      <c r="G265" s="20"/>
      <c r="H265" s="27" t="str">
        <f aca="false">IF(OR(F265="",G265=""),"",IFERROR(INDEX(Lists!$U$3:$Y$5,MATCH(F265,Lists!$T$3:$T$5,0),MATCH(G265,Lists!$U$2:$Y$2,0)),"Check inputs"))</f>
        <v/>
      </c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1"/>
      <c r="T265" s="21"/>
      <c r="U265" s="20"/>
      <c r="V265" s="20"/>
      <c r="W265" s="27" t="str">
        <f aca="true">IF(OR(T265="",LEFT(O265,6)="Closed"),"",TODAY()-T265)</f>
        <v/>
      </c>
      <c r="X265" s="27" t="str">
        <f aca="true">IF(OR(S265="",LEFT(O265,6)="Closed"),"",IF(TODAY()&gt;S265,"Overdue",""))</f>
        <v/>
      </c>
    </row>
    <row r="266" customFormat="false" ht="15" hidden="false" customHeight="false" outlineLevel="0" collapsed="false">
      <c r="A266" s="20"/>
      <c r="B266" s="20"/>
      <c r="C266" s="20"/>
      <c r="D266" s="20"/>
      <c r="E266" s="20"/>
      <c r="F266" s="20"/>
      <c r="G266" s="20"/>
      <c r="H266" s="27" t="str">
        <f aca="false">IF(OR(F266="",G266=""),"",IFERROR(INDEX(Lists!$U$3:$Y$5,MATCH(F266,Lists!$T$3:$T$5,0),MATCH(G266,Lists!$U$2:$Y$2,0)),"Check inputs"))</f>
        <v/>
      </c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1"/>
      <c r="T266" s="21"/>
      <c r="U266" s="20"/>
      <c r="V266" s="20"/>
      <c r="W266" s="27" t="str">
        <f aca="true">IF(OR(T266="",LEFT(O266,6)="Closed"),"",TODAY()-T266)</f>
        <v/>
      </c>
      <c r="X266" s="27" t="str">
        <f aca="true">IF(OR(S266="",LEFT(O266,6)="Closed"),"",IF(TODAY()&gt;S266,"Overdue",""))</f>
        <v/>
      </c>
    </row>
    <row r="267" customFormat="false" ht="15" hidden="false" customHeight="false" outlineLevel="0" collapsed="false">
      <c r="A267" s="20"/>
      <c r="B267" s="20"/>
      <c r="C267" s="20"/>
      <c r="D267" s="20"/>
      <c r="E267" s="20"/>
      <c r="F267" s="20"/>
      <c r="G267" s="20"/>
      <c r="H267" s="27" t="str">
        <f aca="false">IF(OR(F267="",G267=""),"",IFERROR(INDEX(Lists!$U$3:$Y$5,MATCH(F267,Lists!$T$3:$T$5,0),MATCH(G267,Lists!$U$2:$Y$2,0)),"Check inputs"))</f>
        <v/>
      </c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1"/>
      <c r="T267" s="21"/>
      <c r="U267" s="20"/>
      <c r="V267" s="20"/>
      <c r="W267" s="27" t="str">
        <f aca="true">IF(OR(T267="",LEFT(O267,6)="Closed"),"",TODAY()-T267)</f>
        <v/>
      </c>
      <c r="X267" s="27" t="str">
        <f aca="true">IF(OR(S267="",LEFT(O267,6)="Closed"),"",IF(TODAY()&gt;S267,"Overdue",""))</f>
        <v/>
      </c>
    </row>
    <row r="268" customFormat="false" ht="15" hidden="false" customHeight="false" outlineLevel="0" collapsed="false">
      <c r="A268" s="20"/>
      <c r="B268" s="20"/>
      <c r="C268" s="20"/>
      <c r="D268" s="20"/>
      <c r="E268" s="20"/>
      <c r="F268" s="20"/>
      <c r="G268" s="20"/>
      <c r="H268" s="27" t="str">
        <f aca="false">IF(OR(F268="",G268=""),"",IFERROR(INDEX(Lists!$U$3:$Y$5,MATCH(F268,Lists!$T$3:$T$5,0),MATCH(G268,Lists!$U$2:$Y$2,0)),"Check inputs"))</f>
        <v/>
      </c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1"/>
      <c r="T268" s="21"/>
      <c r="U268" s="20"/>
      <c r="V268" s="20"/>
      <c r="W268" s="27" t="str">
        <f aca="true">IF(OR(T268="",LEFT(O268,6)="Closed"),"",TODAY()-T268)</f>
        <v/>
      </c>
      <c r="X268" s="27" t="str">
        <f aca="true">IF(OR(S268="",LEFT(O268,6)="Closed"),"",IF(TODAY()&gt;S268,"Overdue",""))</f>
        <v/>
      </c>
    </row>
    <row r="269" customFormat="false" ht="15" hidden="false" customHeight="false" outlineLevel="0" collapsed="false">
      <c r="A269" s="20"/>
      <c r="B269" s="20"/>
      <c r="C269" s="20"/>
      <c r="D269" s="20"/>
      <c r="E269" s="20"/>
      <c r="F269" s="20"/>
      <c r="G269" s="20"/>
      <c r="H269" s="27" t="str">
        <f aca="false">IF(OR(F269="",G269=""),"",IFERROR(INDEX(Lists!$U$3:$Y$5,MATCH(F269,Lists!$T$3:$T$5,0),MATCH(G269,Lists!$U$2:$Y$2,0)),"Check inputs"))</f>
        <v/>
      </c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1"/>
      <c r="T269" s="21"/>
      <c r="U269" s="20"/>
      <c r="V269" s="20"/>
      <c r="W269" s="27" t="str">
        <f aca="true">IF(OR(T269="",LEFT(O269,6)="Closed"),"",TODAY()-T269)</f>
        <v/>
      </c>
      <c r="X269" s="27" t="str">
        <f aca="true">IF(OR(S269="",LEFT(O269,6)="Closed"),"",IF(TODAY()&gt;S269,"Overdue",""))</f>
        <v/>
      </c>
    </row>
    <row r="270" customFormat="false" ht="15" hidden="false" customHeight="false" outlineLevel="0" collapsed="false">
      <c r="A270" s="20"/>
      <c r="B270" s="20"/>
      <c r="C270" s="20"/>
      <c r="D270" s="20"/>
      <c r="E270" s="20"/>
      <c r="F270" s="20"/>
      <c r="G270" s="20"/>
      <c r="H270" s="27" t="str">
        <f aca="false">IF(OR(F270="",G270=""),"",IFERROR(INDEX(Lists!$U$3:$Y$5,MATCH(F270,Lists!$T$3:$T$5,0),MATCH(G270,Lists!$U$2:$Y$2,0)),"Check inputs"))</f>
        <v/>
      </c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1"/>
      <c r="T270" s="21"/>
      <c r="U270" s="20"/>
      <c r="V270" s="20"/>
      <c r="W270" s="27" t="str">
        <f aca="true">IF(OR(T270="",LEFT(O270,6)="Closed"),"",TODAY()-T270)</f>
        <v/>
      </c>
      <c r="X270" s="27" t="str">
        <f aca="true">IF(OR(S270="",LEFT(O270,6)="Closed"),"",IF(TODAY()&gt;S270,"Overdue",""))</f>
        <v/>
      </c>
    </row>
    <row r="271" customFormat="false" ht="15" hidden="false" customHeight="false" outlineLevel="0" collapsed="false">
      <c r="A271" s="20"/>
      <c r="B271" s="20"/>
      <c r="C271" s="20"/>
      <c r="D271" s="20"/>
      <c r="E271" s="20"/>
      <c r="F271" s="20"/>
      <c r="G271" s="20"/>
      <c r="H271" s="27" t="str">
        <f aca="false">IF(OR(F271="",G271=""),"",IFERROR(INDEX(Lists!$U$3:$Y$5,MATCH(F271,Lists!$T$3:$T$5,0),MATCH(G271,Lists!$U$2:$Y$2,0)),"Check inputs"))</f>
        <v/>
      </c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1"/>
      <c r="T271" s="21"/>
      <c r="U271" s="20"/>
      <c r="V271" s="20"/>
      <c r="W271" s="27" t="str">
        <f aca="true">IF(OR(T271="",LEFT(O271,6)="Closed"),"",TODAY()-T271)</f>
        <v/>
      </c>
      <c r="X271" s="27" t="str">
        <f aca="true">IF(OR(S271="",LEFT(O271,6)="Closed"),"",IF(TODAY()&gt;S271,"Overdue",""))</f>
        <v/>
      </c>
    </row>
    <row r="272" customFormat="false" ht="15" hidden="false" customHeight="false" outlineLevel="0" collapsed="false">
      <c r="A272" s="20"/>
      <c r="B272" s="20"/>
      <c r="C272" s="20"/>
      <c r="D272" s="20"/>
      <c r="E272" s="20"/>
      <c r="F272" s="20"/>
      <c r="G272" s="20"/>
      <c r="H272" s="27" t="str">
        <f aca="false">IF(OR(F272="",G272=""),"",IFERROR(INDEX(Lists!$U$3:$Y$5,MATCH(F272,Lists!$T$3:$T$5,0),MATCH(G272,Lists!$U$2:$Y$2,0)),"Check inputs"))</f>
        <v/>
      </c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1"/>
      <c r="T272" s="21"/>
      <c r="U272" s="20"/>
      <c r="V272" s="20"/>
      <c r="W272" s="27" t="str">
        <f aca="true">IF(OR(T272="",LEFT(O272,6)="Closed"),"",TODAY()-T272)</f>
        <v/>
      </c>
      <c r="X272" s="27" t="str">
        <f aca="true">IF(OR(S272="",LEFT(O272,6)="Closed"),"",IF(TODAY()&gt;S272,"Overdue",""))</f>
        <v/>
      </c>
    </row>
    <row r="273" customFormat="false" ht="15" hidden="false" customHeight="false" outlineLevel="0" collapsed="false">
      <c r="A273" s="20"/>
      <c r="B273" s="20"/>
      <c r="C273" s="20"/>
      <c r="D273" s="20"/>
      <c r="E273" s="20"/>
      <c r="F273" s="20"/>
      <c r="G273" s="20"/>
      <c r="H273" s="27" t="str">
        <f aca="false">IF(OR(F273="",G273=""),"",IFERROR(INDEX(Lists!$U$3:$Y$5,MATCH(F273,Lists!$T$3:$T$5,0),MATCH(G273,Lists!$U$2:$Y$2,0)),"Check inputs"))</f>
        <v/>
      </c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1"/>
      <c r="T273" s="21"/>
      <c r="U273" s="20"/>
      <c r="V273" s="20"/>
      <c r="W273" s="27" t="str">
        <f aca="true">IF(OR(T273="",LEFT(O273,6)="Closed"),"",TODAY()-T273)</f>
        <v/>
      </c>
      <c r="X273" s="27" t="str">
        <f aca="true">IF(OR(S273="",LEFT(O273,6)="Closed"),"",IF(TODAY()&gt;S273,"Overdue",""))</f>
        <v/>
      </c>
    </row>
    <row r="274" customFormat="false" ht="15" hidden="false" customHeight="false" outlineLevel="0" collapsed="false">
      <c r="A274" s="20"/>
      <c r="B274" s="20"/>
      <c r="C274" s="20"/>
      <c r="D274" s="20"/>
      <c r="E274" s="20"/>
      <c r="F274" s="20"/>
      <c r="G274" s="20"/>
      <c r="H274" s="27" t="str">
        <f aca="false">IF(OR(F274="",G274=""),"",IFERROR(INDEX(Lists!$U$3:$Y$5,MATCH(F274,Lists!$T$3:$T$5,0),MATCH(G274,Lists!$U$2:$Y$2,0)),"Check inputs"))</f>
        <v/>
      </c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1"/>
      <c r="T274" s="21"/>
      <c r="U274" s="20"/>
      <c r="V274" s="20"/>
      <c r="W274" s="27" t="str">
        <f aca="true">IF(OR(T274="",LEFT(O274,6)="Closed"),"",TODAY()-T274)</f>
        <v/>
      </c>
      <c r="X274" s="27" t="str">
        <f aca="true">IF(OR(S274="",LEFT(O274,6)="Closed"),"",IF(TODAY()&gt;S274,"Overdue",""))</f>
        <v/>
      </c>
    </row>
    <row r="275" customFormat="false" ht="15" hidden="false" customHeight="false" outlineLevel="0" collapsed="false">
      <c r="A275" s="20"/>
      <c r="B275" s="20"/>
      <c r="C275" s="20"/>
      <c r="D275" s="20"/>
      <c r="E275" s="20"/>
      <c r="F275" s="20"/>
      <c r="G275" s="20"/>
      <c r="H275" s="27" t="str">
        <f aca="false">IF(OR(F275="",G275=""),"",IFERROR(INDEX(Lists!$U$3:$Y$5,MATCH(F275,Lists!$T$3:$T$5,0),MATCH(G275,Lists!$U$2:$Y$2,0)),"Check inputs"))</f>
        <v/>
      </c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1"/>
      <c r="T275" s="21"/>
      <c r="U275" s="20"/>
      <c r="V275" s="20"/>
      <c r="W275" s="27" t="str">
        <f aca="true">IF(OR(T275="",LEFT(O275,6)="Closed"),"",TODAY()-T275)</f>
        <v/>
      </c>
      <c r="X275" s="27" t="str">
        <f aca="true">IF(OR(S275="",LEFT(O275,6)="Closed"),"",IF(TODAY()&gt;S275,"Overdue",""))</f>
        <v/>
      </c>
    </row>
    <row r="276" customFormat="false" ht="15" hidden="false" customHeight="false" outlineLevel="0" collapsed="false">
      <c r="A276" s="20"/>
      <c r="B276" s="20"/>
      <c r="C276" s="20"/>
      <c r="D276" s="20"/>
      <c r="E276" s="20"/>
      <c r="F276" s="20"/>
      <c r="G276" s="20"/>
      <c r="H276" s="27" t="str">
        <f aca="false">IF(OR(F276="",G276=""),"",IFERROR(INDEX(Lists!$U$3:$Y$5,MATCH(F276,Lists!$T$3:$T$5,0),MATCH(G276,Lists!$U$2:$Y$2,0)),"Check inputs"))</f>
        <v/>
      </c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1"/>
      <c r="T276" s="21"/>
      <c r="U276" s="20"/>
      <c r="V276" s="20"/>
      <c r="W276" s="27" t="str">
        <f aca="true">IF(OR(T276="",LEFT(O276,6)="Closed"),"",TODAY()-T276)</f>
        <v/>
      </c>
      <c r="X276" s="27" t="str">
        <f aca="true">IF(OR(S276="",LEFT(O276,6)="Closed"),"",IF(TODAY()&gt;S276,"Overdue",""))</f>
        <v/>
      </c>
    </row>
    <row r="277" customFormat="false" ht="15" hidden="false" customHeight="false" outlineLevel="0" collapsed="false">
      <c r="A277" s="20"/>
      <c r="B277" s="20"/>
      <c r="C277" s="20"/>
      <c r="D277" s="20"/>
      <c r="E277" s="20"/>
      <c r="F277" s="20"/>
      <c r="G277" s="20"/>
      <c r="H277" s="27" t="str">
        <f aca="false">IF(OR(F277="",G277=""),"",IFERROR(INDEX(Lists!$U$3:$Y$5,MATCH(F277,Lists!$T$3:$T$5,0),MATCH(G277,Lists!$U$2:$Y$2,0)),"Check inputs"))</f>
        <v/>
      </c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1"/>
      <c r="T277" s="21"/>
      <c r="U277" s="20"/>
      <c r="V277" s="20"/>
      <c r="W277" s="27" t="str">
        <f aca="true">IF(OR(T277="",LEFT(O277,6)="Closed"),"",TODAY()-T277)</f>
        <v/>
      </c>
      <c r="X277" s="27" t="str">
        <f aca="true">IF(OR(S277="",LEFT(O277,6)="Closed"),"",IF(TODAY()&gt;S277,"Overdue",""))</f>
        <v/>
      </c>
    </row>
    <row r="278" customFormat="false" ht="15" hidden="false" customHeight="false" outlineLevel="0" collapsed="false">
      <c r="A278" s="20"/>
      <c r="B278" s="20"/>
      <c r="C278" s="20"/>
      <c r="D278" s="20"/>
      <c r="E278" s="20"/>
      <c r="F278" s="20"/>
      <c r="G278" s="20"/>
      <c r="H278" s="27" t="str">
        <f aca="false">IF(OR(F278="",G278=""),"",IFERROR(INDEX(Lists!$U$3:$Y$5,MATCH(F278,Lists!$T$3:$T$5,0),MATCH(G278,Lists!$U$2:$Y$2,0)),"Check inputs"))</f>
        <v/>
      </c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1"/>
      <c r="T278" s="21"/>
      <c r="U278" s="20"/>
      <c r="V278" s="20"/>
      <c r="W278" s="27" t="str">
        <f aca="true">IF(OR(T278="",LEFT(O278,6)="Closed"),"",TODAY()-T278)</f>
        <v/>
      </c>
      <c r="X278" s="27" t="str">
        <f aca="true">IF(OR(S278="",LEFT(O278,6)="Closed"),"",IF(TODAY()&gt;S278,"Overdue",""))</f>
        <v/>
      </c>
    </row>
    <row r="279" customFormat="false" ht="15" hidden="false" customHeight="false" outlineLevel="0" collapsed="false">
      <c r="A279" s="20"/>
      <c r="B279" s="20"/>
      <c r="C279" s="20"/>
      <c r="D279" s="20"/>
      <c r="E279" s="20"/>
      <c r="F279" s="20"/>
      <c r="G279" s="20"/>
      <c r="H279" s="27" t="str">
        <f aca="false">IF(OR(F279="",G279=""),"",IFERROR(INDEX(Lists!$U$3:$Y$5,MATCH(F279,Lists!$T$3:$T$5,0),MATCH(G279,Lists!$U$2:$Y$2,0)),"Check inputs"))</f>
        <v/>
      </c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1"/>
      <c r="T279" s="21"/>
      <c r="U279" s="20"/>
      <c r="V279" s="20"/>
      <c r="W279" s="27" t="str">
        <f aca="true">IF(OR(T279="",LEFT(O279,6)="Closed"),"",TODAY()-T279)</f>
        <v/>
      </c>
      <c r="X279" s="27" t="str">
        <f aca="true">IF(OR(S279="",LEFT(O279,6)="Closed"),"",IF(TODAY()&gt;S279,"Overdue",""))</f>
        <v/>
      </c>
    </row>
    <row r="280" customFormat="false" ht="15" hidden="false" customHeight="false" outlineLevel="0" collapsed="false">
      <c r="A280" s="20"/>
      <c r="B280" s="20"/>
      <c r="C280" s="20"/>
      <c r="D280" s="20"/>
      <c r="E280" s="20"/>
      <c r="F280" s="20"/>
      <c r="G280" s="20"/>
      <c r="H280" s="27" t="str">
        <f aca="false">IF(OR(F280="",G280=""),"",IFERROR(INDEX(Lists!$U$3:$Y$5,MATCH(F280,Lists!$T$3:$T$5,0),MATCH(G280,Lists!$U$2:$Y$2,0)),"Check inputs"))</f>
        <v/>
      </c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1"/>
      <c r="T280" s="21"/>
      <c r="U280" s="20"/>
      <c r="V280" s="20"/>
      <c r="W280" s="27" t="str">
        <f aca="true">IF(OR(T280="",LEFT(O280,6)="Closed"),"",TODAY()-T280)</f>
        <v/>
      </c>
      <c r="X280" s="27" t="str">
        <f aca="true">IF(OR(S280="",LEFT(O280,6)="Closed"),"",IF(TODAY()&gt;S280,"Overdue",""))</f>
        <v/>
      </c>
    </row>
    <row r="281" customFormat="false" ht="15" hidden="false" customHeight="false" outlineLevel="0" collapsed="false">
      <c r="A281" s="20"/>
      <c r="B281" s="20"/>
      <c r="C281" s="20"/>
      <c r="D281" s="20"/>
      <c r="E281" s="20"/>
      <c r="F281" s="20"/>
      <c r="G281" s="20"/>
      <c r="H281" s="27" t="str">
        <f aca="false">IF(OR(F281="",G281=""),"",IFERROR(INDEX(Lists!$U$3:$Y$5,MATCH(F281,Lists!$T$3:$T$5,0),MATCH(G281,Lists!$U$2:$Y$2,0)),"Check inputs"))</f>
        <v/>
      </c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1"/>
      <c r="T281" s="21"/>
      <c r="U281" s="20"/>
      <c r="V281" s="20"/>
      <c r="W281" s="27" t="str">
        <f aca="true">IF(OR(T281="",LEFT(O281,6)="Closed"),"",TODAY()-T281)</f>
        <v/>
      </c>
      <c r="X281" s="27" t="str">
        <f aca="true">IF(OR(S281="",LEFT(O281,6)="Closed"),"",IF(TODAY()&gt;S281,"Overdue",""))</f>
        <v/>
      </c>
    </row>
    <row r="282" customFormat="false" ht="15" hidden="false" customHeight="false" outlineLevel="0" collapsed="false">
      <c r="A282" s="20"/>
      <c r="B282" s="20"/>
      <c r="C282" s="20"/>
      <c r="D282" s="20"/>
      <c r="E282" s="20"/>
      <c r="F282" s="20"/>
      <c r="G282" s="20"/>
      <c r="H282" s="27" t="str">
        <f aca="false">IF(OR(F282="",G282=""),"",IFERROR(INDEX(Lists!$U$3:$Y$5,MATCH(F282,Lists!$T$3:$T$5,0),MATCH(G282,Lists!$U$2:$Y$2,0)),"Check inputs"))</f>
        <v/>
      </c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1"/>
      <c r="T282" s="21"/>
      <c r="U282" s="20"/>
      <c r="V282" s="20"/>
      <c r="W282" s="27" t="str">
        <f aca="true">IF(OR(T282="",LEFT(O282,6)="Closed"),"",TODAY()-T282)</f>
        <v/>
      </c>
      <c r="X282" s="27" t="str">
        <f aca="true">IF(OR(S282="",LEFT(O282,6)="Closed"),"",IF(TODAY()&gt;S282,"Overdue",""))</f>
        <v/>
      </c>
    </row>
    <row r="283" customFormat="false" ht="15" hidden="false" customHeight="false" outlineLevel="0" collapsed="false">
      <c r="A283" s="20"/>
      <c r="B283" s="20"/>
      <c r="C283" s="20"/>
      <c r="D283" s="20"/>
      <c r="E283" s="20"/>
      <c r="F283" s="20"/>
      <c r="G283" s="20"/>
      <c r="H283" s="27" t="str">
        <f aca="false">IF(OR(F283="",G283=""),"",IFERROR(INDEX(Lists!$U$3:$Y$5,MATCH(F283,Lists!$T$3:$T$5,0),MATCH(G283,Lists!$U$2:$Y$2,0)),"Check inputs"))</f>
        <v/>
      </c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1"/>
      <c r="T283" s="21"/>
      <c r="U283" s="20"/>
      <c r="V283" s="20"/>
      <c r="W283" s="27" t="str">
        <f aca="true">IF(OR(T283="",LEFT(O283,6)="Closed"),"",TODAY()-T283)</f>
        <v/>
      </c>
      <c r="X283" s="27" t="str">
        <f aca="true">IF(OR(S283="",LEFT(O283,6)="Closed"),"",IF(TODAY()&gt;S283,"Overdue",""))</f>
        <v/>
      </c>
    </row>
    <row r="284" customFormat="false" ht="15" hidden="false" customHeight="false" outlineLevel="0" collapsed="false">
      <c r="A284" s="20"/>
      <c r="B284" s="20"/>
      <c r="C284" s="20"/>
      <c r="D284" s="20"/>
      <c r="E284" s="20"/>
      <c r="F284" s="20"/>
      <c r="G284" s="20"/>
      <c r="H284" s="27" t="str">
        <f aca="false">IF(OR(F284="",G284=""),"",IFERROR(INDEX(Lists!$U$3:$Y$5,MATCH(F284,Lists!$T$3:$T$5,0),MATCH(G284,Lists!$U$2:$Y$2,0)),"Check inputs"))</f>
        <v/>
      </c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1"/>
      <c r="T284" s="21"/>
      <c r="U284" s="20"/>
      <c r="V284" s="20"/>
      <c r="W284" s="27" t="str">
        <f aca="true">IF(OR(T284="",LEFT(O284,6)="Closed"),"",TODAY()-T284)</f>
        <v/>
      </c>
      <c r="X284" s="27" t="str">
        <f aca="true">IF(OR(S284="",LEFT(O284,6)="Closed"),"",IF(TODAY()&gt;S284,"Overdue",""))</f>
        <v/>
      </c>
    </row>
    <row r="285" customFormat="false" ht="15" hidden="false" customHeight="false" outlineLevel="0" collapsed="false">
      <c r="A285" s="20"/>
      <c r="B285" s="20"/>
      <c r="C285" s="20"/>
      <c r="D285" s="20"/>
      <c r="E285" s="20"/>
      <c r="F285" s="20"/>
      <c r="G285" s="20"/>
      <c r="H285" s="27" t="str">
        <f aca="false">IF(OR(F285="",G285=""),"",IFERROR(INDEX(Lists!$U$3:$Y$5,MATCH(F285,Lists!$T$3:$T$5,0),MATCH(G285,Lists!$U$2:$Y$2,0)),"Check inputs"))</f>
        <v/>
      </c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1"/>
      <c r="T285" s="21"/>
      <c r="U285" s="20"/>
      <c r="V285" s="20"/>
      <c r="W285" s="27" t="str">
        <f aca="true">IF(OR(T285="",LEFT(O285,6)="Closed"),"",TODAY()-T285)</f>
        <v/>
      </c>
      <c r="X285" s="27" t="str">
        <f aca="true">IF(OR(S285="",LEFT(O285,6)="Closed"),"",IF(TODAY()&gt;S285,"Overdue",""))</f>
        <v/>
      </c>
    </row>
    <row r="286" customFormat="false" ht="15" hidden="false" customHeight="false" outlineLevel="0" collapsed="false">
      <c r="A286" s="20"/>
      <c r="B286" s="20"/>
      <c r="C286" s="20"/>
      <c r="D286" s="20"/>
      <c r="E286" s="20"/>
      <c r="F286" s="20"/>
      <c r="G286" s="20"/>
      <c r="H286" s="27" t="str">
        <f aca="false">IF(OR(F286="",G286=""),"",IFERROR(INDEX(Lists!$U$3:$Y$5,MATCH(F286,Lists!$T$3:$T$5,0),MATCH(G286,Lists!$U$2:$Y$2,0)),"Check inputs"))</f>
        <v/>
      </c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1"/>
      <c r="T286" s="21"/>
      <c r="U286" s="20"/>
      <c r="V286" s="20"/>
      <c r="W286" s="27" t="str">
        <f aca="true">IF(OR(T286="",LEFT(O286,6)="Closed"),"",TODAY()-T286)</f>
        <v/>
      </c>
      <c r="X286" s="27" t="str">
        <f aca="true">IF(OR(S286="",LEFT(O286,6)="Closed"),"",IF(TODAY()&gt;S286,"Overdue",""))</f>
        <v/>
      </c>
    </row>
    <row r="287" customFormat="false" ht="15" hidden="false" customHeight="false" outlineLevel="0" collapsed="false">
      <c r="A287" s="20"/>
      <c r="B287" s="20"/>
      <c r="C287" s="20"/>
      <c r="D287" s="20"/>
      <c r="E287" s="20"/>
      <c r="F287" s="20"/>
      <c r="G287" s="20"/>
      <c r="H287" s="27" t="str">
        <f aca="false">IF(OR(F287="",G287=""),"",IFERROR(INDEX(Lists!$U$3:$Y$5,MATCH(F287,Lists!$T$3:$T$5,0),MATCH(G287,Lists!$U$2:$Y$2,0)),"Check inputs"))</f>
        <v/>
      </c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1"/>
      <c r="T287" s="21"/>
      <c r="U287" s="20"/>
      <c r="V287" s="20"/>
      <c r="W287" s="27" t="str">
        <f aca="true">IF(OR(T287="",LEFT(O287,6)="Closed"),"",TODAY()-T287)</f>
        <v/>
      </c>
      <c r="X287" s="27" t="str">
        <f aca="true">IF(OR(S287="",LEFT(O287,6)="Closed"),"",IF(TODAY()&gt;S287,"Overdue",""))</f>
        <v/>
      </c>
    </row>
    <row r="288" customFormat="false" ht="15" hidden="false" customHeight="false" outlineLevel="0" collapsed="false">
      <c r="A288" s="20"/>
      <c r="B288" s="20"/>
      <c r="C288" s="20"/>
      <c r="D288" s="20"/>
      <c r="E288" s="20"/>
      <c r="F288" s="20"/>
      <c r="G288" s="20"/>
      <c r="H288" s="27" t="str">
        <f aca="false">IF(OR(F288="",G288=""),"",IFERROR(INDEX(Lists!$U$3:$Y$5,MATCH(F288,Lists!$T$3:$T$5,0),MATCH(G288,Lists!$U$2:$Y$2,0)),"Check inputs"))</f>
        <v/>
      </c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1"/>
      <c r="T288" s="21"/>
      <c r="U288" s="20"/>
      <c r="V288" s="20"/>
      <c r="W288" s="27" t="str">
        <f aca="true">IF(OR(T288="",LEFT(O288,6)="Closed"),"",TODAY()-T288)</f>
        <v/>
      </c>
      <c r="X288" s="27" t="str">
        <f aca="true">IF(OR(S288="",LEFT(O288,6)="Closed"),"",IF(TODAY()&gt;S288,"Overdue",""))</f>
        <v/>
      </c>
    </row>
    <row r="289" customFormat="false" ht="15" hidden="false" customHeight="false" outlineLevel="0" collapsed="false">
      <c r="A289" s="20"/>
      <c r="B289" s="20"/>
      <c r="C289" s="20"/>
      <c r="D289" s="20"/>
      <c r="E289" s="20"/>
      <c r="F289" s="20"/>
      <c r="G289" s="20"/>
      <c r="H289" s="27" t="str">
        <f aca="false">IF(OR(F289="",G289=""),"",IFERROR(INDEX(Lists!$U$3:$Y$5,MATCH(F289,Lists!$T$3:$T$5,0),MATCH(G289,Lists!$U$2:$Y$2,0)),"Check inputs"))</f>
        <v/>
      </c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1"/>
      <c r="T289" s="21"/>
      <c r="U289" s="20"/>
      <c r="V289" s="20"/>
      <c r="W289" s="27" t="str">
        <f aca="true">IF(OR(T289="",LEFT(O289,6)="Closed"),"",TODAY()-T289)</f>
        <v/>
      </c>
      <c r="X289" s="27" t="str">
        <f aca="true">IF(OR(S289="",LEFT(O289,6)="Closed"),"",IF(TODAY()&gt;S289,"Overdue",""))</f>
        <v/>
      </c>
    </row>
    <row r="290" customFormat="false" ht="15" hidden="false" customHeight="false" outlineLevel="0" collapsed="false">
      <c r="A290" s="20"/>
      <c r="B290" s="20"/>
      <c r="C290" s="20"/>
      <c r="D290" s="20"/>
      <c r="E290" s="20"/>
      <c r="F290" s="20"/>
      <c r="G290" s="20"/>
      <c r="H290" s="27" t="str">
        <f aca="false">IF(OR(F290="",G290=""),"",IFERROR(INDEX(Lists!$U$3:$Y$5,MATCH(F290,Lists!$T$3:$T$5,0),MATCH(G290,Lists!$U$2:$Y$2,0)),"Check inputs"))</f>
        <v/>
      </c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1"/>
      <c r="T290" s="21"/>
      <c r="U290" s="20"/>
      <c r="V290" s="20"/>
      <c r="W290" s="27" t="str">
        <f aca="true">IF(OR(T290="",LEFT(O290,6)="Closed"),"",TODAY()-T290)</f>
        <v/>
      </c>
      <c r="X290" s="27" t="str">
        <f aca="true">IF(OR(S290="",LEFT(O290,6)="Closed"),"",IF(TODAY()&gt;S290,"Overdue",""))</f>
        <v/>
      </c>
    </row>
    <row r="291" customFormat="false" ht="15" hidden="false" customHeight="false" outlineLevel="0" collapsed="false">
      <c r="A291" s="20"/>
      <c r="B291" s="20"/>
      <c r="C291" s="20"/>
      <c r="D291" s="20"/>
      <c r="E291" s="20"/>
      <c r="F291" s="20"/>
      <c r="G291" s="20"/>
      <c r="H291" s="27" t="str">
        <f aca="false">IF(OR(F291="",G291=""),"",IFERROR(INDEX(Lists!$U$3:$Y$5,MATCH(F291,Lists!$T$3:$T$5,0),MATCH(G291,Lists!$U$2:$Y$2,0)),"Check inputs"))</f>
        <v/>
      </c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1"/>
      <c r="T291" s="21"/>
      <c r="U291" s="20"/>
      <c r="V291" s="20"/>
      <c r="W291" s="27" t="str">
        <f aca="true">IF(OR(T291="",LEFT(O291,6)="Closed"),"",TODAY()-T291)</f>
        <v/>
      </c>
      <c r="X291" s="27" t="str">
        <f aca="true">IF(OR(S291="",LEFT(O291,6)="Closed"),"",IF(TODAY()&gt;S291,"Overdue",""))</f>
        <v/>
      </c>
    </row>
    <row r="292" customFormat="false" ht="15" hidden="false" customHeight="false" outlineLevel="0" collapsed="false">
      <c r="A292" s="20"/>
      <c r="B292" s="20"/>
      <c r="C292" s="20"/>
      <c r="D292" s="20"/>
      <c r="E292" s="20"/>
      <c r="F292" s="20"/>
      <c r="G292" s="20"/>
      <c r="H292" s="27" t="str">
        <f aca="false">IF(OR(F292="",G292=""),"",IFERROR(INDEX(Lists!$U$3:$Y$5,MATCH(F292,Lists!$T$3:$T$5,0),MATCH(G292,Lists!$U$2:$Y$2,0)),"Check inputs"))</f>
        <v/>
      </c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1"/>
      <c r="T292" s="21"/>
      <c r="U292" s="20"/>
      <c r="V292" s="20"/>
      <c r="W292" s="27" t="str">
        <f aca="true">IF(OR(T292="",LEFT(O292,6)="Closed"),"",TODAY()-T292)</f>
        <v/>
      </c>
      <c r="X292" s="27" t="str">
        <f aca="true">IF(OR(S292="",LEFT(O292,6)="Closed"),"",IF(TODAY()&gt;S292,"Overdue",""))</f>
        <v/>
      </c>
    </row>
    <row r="293" customFormat="false" ht="15" hidden="false" customHeight="false" outlineLevel="0" collapsed="false">
      <c r="A293" s="20"/>
      <c r="B293" s="20"/>
      <c r="C293" s="20"/>
      <c r="D293" s="20"/>
      <c r="E293" s="20"/>
      <c r="F293" s="20"/>
      <c r="G293" s="20"/>
      <c r="H293" s="27" t="str">
        <f aca="false">IF(OR(F293="",G293=""),"",IFERROR(INDEX(Lists!$U$3:$Y$5,MATCH(F293,Lists!$T$3:$T$5,0),MATCH(G293,Lists!$U$2:$Y$2,0)),"Check inputs"))</f>
        <v/>
      </c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1"/>
      <c r="T293" s="21"/>
      <c r="U293" s="20"/>
      <c r="V293" s="20"/>
      <c r="W293" s="27" t="str">
        <f aca="true">IF(OR(T293="",LEFT(O293,6)="Closed"),"",TODAY()-T293)</f>
        <v/>
      </c>
      <c r="X293" s="27" t="str">
        <f aca="true">IF(OR(S293="",LEFT(O293,6)="Closed"),"",IF(TODAY()&gt;S293,"Overdue",""))</f>
        <v/>
      </c>
    </row>
    <row r="294" customFormat="false" ht="15" hidden="false" customHeight="false" outlineLevel="0" collapsed="false">
      <c r="A294" s="20"/>
      <c r="B294" s="20"/>
      <c r="C294" s="20"/>
      <c r="D294" s="20"/>
      <c r="E294" s="20"/>
      <c r="F294" s="20"/>
      <c r="G294" s="20"/>
      <c r="H294" s="27" t="str">
        <f aca="false">IF(OR(F294="",G294=""),"",IFERROR(INDEX(Lists!$U$3:$Y$5,MATCH(F294,Lists!$T$3:$T$5,0),MATCH(G294,Lists!$U$2:$Y$2,0)),"Check inputs"))</f>
        <v/>
      </c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1"/>
      <c r="T294" s="21"/>
      <c r="U294" s="20"/>
      <c r="V294" s="20"/>
      <c r="W294" s="27" t="str">
        <f aca="true">IF(OR(T294="",LEFT(O294,6)="Closed"),"",TODAY()-T294)</f>
        <v/>
      </c>
      <c r="X294" s="27" t="str">
        <f aca="true">IF(OR(S294="",LEFT(O294,6)="Closed"),"",IF(TODAY()&gt;S294,"Overdue",""))</f>
        <v/>
      </c>
    </row>
    <row r="295" customFormat="false" ht="15" hidden="false" customHeight="false" outlineLevel="0" collapsed="false">
      <c r="A295" s="20"/>
      <c r="B295" s="20"/>
      <c r="C295" s="20"/>
      <c r="D295" s="20"/>
      <c r="E295" s="20"/>
      <c r="F295" s="20"/>
      <c r="G295" s="20"/>
      <c r="H295" s="27" t="str">
        <f aca="false">IF(OR(F295="",G295=""),"",IFERROR(INDEX(Lists!$U$3:$Y$5,MATCH(F295,Lists!$T$3:$T$5,0),MATCH(G295,Lists!$U$2:$Y$2,0)),"Check inputs"))</f>
        <v/>
      </c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1"/>
      <c r="T295" s="21"/>
      <c r="U295" s="20"/>
      <c r="V295" s="20"/>
      <c r="W295" s="27" t="str">
        <f aca="true">IF(OR(T295="",LEFT(O295,6)="Closed"),"",TODAY()-T295)</f>
        <v/>
      </c>
      <c r="X295" s="27" t="str">
        <f aca="true">IF(OR(S295="",LEFT(O295,6)="Closed"),"",IF(TODAY()&gt;S295,"Overdue",""))</f>
        <v/>
      </c>
    </row>
    <row r="296" customFormat="false" ht="15" hidden="false" customHeight="false" outlineLevel="0" collapsed="false">
      <c r="A296" s="20"/>
      <c r="B296" s="20"/>
      <c r="C296" s="20"/>
      <c r="D296" s="20"/>
      <c r="E296" s="20"/>
      <c r="F296" s="20"/>
      <c r="G296" s="20"/>
      <c r="H296" s="27" t="str">
        <f aca="false">IF(OR(F296="",G296=""),"",IFERROR(INDEX(Lists!$U$3:$Y$5,MATCH(F296,Lists!$T$3:$T$5,0),MATCH(G296,Lists!$U$2:$Y$2,0)),"Check inputs"))</f>
        <v/>
      </c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1"/>
      <c r="T296" s="21"/>
      <c r="U296" s="20"/>
      <c r="V296" s="20"/>
      <c r="W296" s="27" t="str">
        <f aca="true">IF(OR(T296="",LEFT(O296,6)="Closed"),"",TODAY()-T296)</f>
        <v/>
      </c>
      <c r="X296" s="27" t="str">
        <f aca="true">IF(OR(S296="",LEFT(O296,6)="Closed"),"",IF(TODAY()&gt;S296,"Overdue",""))</f>
        <v/>
      </c>
    </row>
    <row r="297" customFormat="false" ht="15" hidden="false" customHeight="false" outlineLevel="0" collapsed="false">
      <c r="A297" s="20"/>
      <c r="B297" s="20"/>
      <c r="C297" s="20"/>
      <c r="D297" s="20"/>
      <c r="E297" s="20"/>
      <c r="F297" s="20"/>
      <c r="G297" s="20"/>
      <c r="H297" s="27" t="str">
        <f aca="false">IF(OR(F297="",G297=""),"",IFERROR(INDEX(Lists!$U$3:$Y$5,MATCH(F297,Lists!$T$3:$T$5,0),MATCH(G297,Lists!$U$2:$Y$2,0)),"Check inputs"))</f>
        <v/>
      </c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1"/>
      <c r="T297" s="21"/>
      <c r="U297" s="20"/>
      <c r="V297" s="20"/>
      <c r="W297" s="27" t="str">
        <f aca="true">IF(OR(T297="",LEFT(O297,6)="Closed"),"",TODAY()-T297)</f>
        <v/>
      </c>
      <c r="X297" s="27" t="str">
        <f aca="true">IF(OR(S297="",LEFT(O297,6)="Closed"),"",IF(TODAY()&gt;S297,"Overdue",""))</f>
        <v/>
      </c>
    </row>
    <row r="298" customFormat="false" ht="15" hidden="false" customHeight="false" outlineLevel="0" collapsed="false">
      <c r="A298" s="20"/>
      <c r="B298" s="20"/>
      <c r="C298" s="20"/>
      <c r="D298" s="20"/>
      <c r="E298" s="20"/>
      <c r="F298" s="20"/>
      <c r="G298" s="20"/>
      <c r="H298" s="27" t="str">
        <f aca="false">IF(OR(F298="",G298=""),"",IFERROR(INDEX(Lists!$U$3:$Y$5,MATCH(F298,Lists!$T$3:$T$5,0),MATCH(G298,Lists!$U$2:$Y$2,0)),"Check inputs"))</f>
        <v/>
      </c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1"/>
      <c r="T298" s="21"/>
      <c r="U298" s="20"/>
      <c r="V298" s="20"/>
      <c r="W298" s="27" t="str">
        <f aca="true">IF(OR(T298="",LEFT(O298,6)="Closed"),"",TODAY()-T298)</f>
        <v/>
      </c>
      <c r="X298" s="27" t="str">
        <f aca="true">IF(OR(S298="",LEFT(O298,6)="Closed"),"",IF(TODAY()&gt;S298,"Overdue",""))</f>
        <v/>
      </c>
    </row>
    <row r="299" customFormat="false" ht="15" hidden="false" customHeight="false" outlineLevel="0" collapsed="false">
      <c r="A299" s="20"/>
      <c r="B299" s="20"/>
      <c r="C299" s="20"/>
      <c r="D299" s="20"/>
      <c r="E299" s="20"/>
      <c r="F299" s="20"/>
      <c r="G299" s="20"/>
      <c r="H299" s="27" t="str">
        <f aca="false">IF(OR(F299="",G299=""),"",IFERROR(INDEX(Lists!$U$3:$Y$5,MATCH(F299,Lists!$T$3:$T$5,0),MATCH(G299,Lists!$U$2:$Y$2,0)),"Check inputs"))</f>
        <v/>
      </c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1"/>
      <c r="T299" s="21"/>
      <c r="U299" s="20"/>
      <c r="V299" s="20"/>
      <c r="W299" s="27" t="str">
        <f aca="true">IF(OR(T299="",LEFT(O299,6)="Closed"),"",TODAY()-T299)</f>
        <v/>
      </c>
      <c r="X299" s="27" t="str">
        <f aca="true">IF(OR(S299="",LEFT(O299,6)="Closed"),"",IF(TODAY()&gt;S299,"Overdue",""))</f>
        <v/>
      </c>
    </row>
    <row r="300" customFormat="false" ht="15" hidden="false" customHeight="false" outlineLevel="0" collapsed="false">
      <c r="A300" s="20"/>
      <c r="B300" s="20"/>
      <c r="C300" s="20"/>
      <c r="D300" s="20"/>
      <c r="E300" s="20"/>
      <c r="F300" s="20"/>
      <c r="G300" s="20"/>
      <c r="H300" s="27" t="str">
        <f aca="false">IF(OR(F300="",G300=""),"",IFERROR(INDEX(Lists!$U$3:$Y$5,MATCH(F300,Lists!$T$3:$T$5,0),MATCH(G300,Lists!$U$2:$Y$2,0)),"Check inputs"))</f>
        <v/>
      </c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1"/>
      <c r="T300" s="21"/>
      <c r="U300" s="20"/>
      <c r="V300" s="20"/>
      <c r="W300" s="27" t="str">
        <f aca="true">IF(OR(T300="",LEFT(O300,6)="Closed"),"",TODAY()-T300)</f>
        <v/>
      </c>
      <c r="X300" s="27" t="str">
        <f aca="true">IF(OR(S300="",LEFT(O300,6)="Closed"),"",IF(TODAY()&gt;S300,"Overdue",""))</f>
        <v/>
      </c>
    </row>
    <row r="301" customFormat="false" ht="15" hidden="false" customHeight="false" outlineLevel="0" collapsed="false">
      <c r="A301" s="20"/>
      <c r="B301" s="20"/>
      <c r="C301" s="20"/>
      <c r="D301" s="20"/>
      <c r="E301" s="20"/>
      <c r="F301" s="20"/>
      <c r="G301" s="20"/>
      <c r="H301" s="27" t="str">
        <f aca="false">IF(OR(F301="",G301=""),"",IFERROR(INDEX(Lists!$U$3:$Y$5,MATCH(F301,Lists!$T$3:$T$5,0),MATCH(G301,Lists!$U$2:$Y$2,0)),"Check inputs"))</f>
        <v/>
      </c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1"/>
      <c r="T301" s="21"/>
      <c r="U301" s="20"/>
      <c r="V301" s="20"/>
      <c r="W301" s="27" t="str">
        <f aca="true">IF(OR(T301="",LEFT(O301,6)="Closed"),"",TODAY()-T301)</f>
        <v/>
      </c>
      <c r="X301" s="27" t="str">
        <f aca="true">IF(OR(S301="",LEFT(O301,6)="Closed"),"",IF(TODAY()&gt;S301,"Overdue",""))</f>
        <v/>
      </c>
    </row>
    <row r="302" customFormat="false" ht="15" hidden="false" customHeight="false" outlineLevel="0" collapsed="false">
      <c r="A302" s="20"/>
      <c r="B302" s="20"/>
      <c r="C302" s="20"/>
      <c r="D302" s="20"/>
      <c r="E302" s="20"/>
      <c r="F302" s="20"/>
      <c r="G302" s="20"/>
      <c r="H302" s="27" t="str">
        <f aca="false">IF(OR(F302="",G302=""),"",IFERROR(INDEX(Lists!$U$3:$Y$5,MATCH(F302,Lists!$T$3:$T$5,0),MATCH(G302,Lists!$U$2:$Y$2,0)),"Check inputs"))</f>
        <v/>
      </c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1"/>
      <c r="T302" s="21"/>
      <c r="U302" s="20"/>
      <c r="V302" s="20"/>
      <c r="W302" s="27" t="str">
        <f aca="true">IF(OR(T302="",LEFT(O302,6)="Closed"),"",TODAY()-T302)</f>
        <v/>
      </c>
      <c r="X302" s="27" t="str">
        <f aca="true">IF(OR(S302="",LEFT(O302,6)="Closed"),"",IF(TODAY()&gt;S302,"Overdue",""))</f>
        <v/>
      </c>
    </row>
    <row r="303" customFormat="false" ht="15" hidden="false" customHeight="false" outlineLevel="0" collapsed="false">
      <c r="A303" s="20"/>
      <c r="B303" s="20"/>
      <c r="C303" s="20"/>
      <c r="D303" s="20"/>
      <c r="E303" s="20"/>
      <c r="F303" s="20"/>
      <c r="G303" s="20"/>
      <c r="H303" s="27" t="str">
        <f aca="false">IF(OR(F303="",G303=""),"",IFERROR(INDEX(Lists!$U$3:$Y$5,MATCH(F303,Lists!$T$3:$T$5,0),MATCH(G303,Lists!$U$2:$Y$2,0)),"Check inputs"))</f>
        <v/>
      </c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1"/>
      <c r="T303" s="21"/>
      <c r="U303" s="20"/>
      <c r="V303" s="20"/>
      <c r="W303" s="27" t="str">
        <f aca="true">IF(OR(T303="",LEFT(O303,6)="Closed"),"",TODAY()-T303)</f>
        <v/>
      </c>
      <c r="X303" s="27" t="str">
        <f aca="true">IF(OR(S303="",LEFT(O303,6)="Closed"),"",IF(TODAY()&gt;S303,"Overdue",""))</f>
        <v/>
      </c>
    </row>
  </sheetData>
  <autoFilter ref="A1:X303"/>
  <conditionalFormatting sqref="H2:H303">
    <cfRule type="expression" priority="2" aboveAverage="0" equalAverage="0" bottom="0" percent="0" rank="0" text="" dxfId="9">
      <formula>LEFT($H2,2)="P1"</formula>
    </cfRule>
  </conditionalFormatting>
  <conditionalFormatting sqref="X2:X303">
    <cfRule type="cellIs" priority="3" operator="equal" aboveAverage="0" equalAverage="0" bottom="0" percent="0" rank="0" text="" dxfId="9">
      <formula>"Overdue"</formula>
    </cfRule>
  </conditionalFormatting>
  <dataValidations count="8">
    <dataValidation allowBlank="true" error="Choose a value from the list (see the Lists sheet)." errorStyle="stop" errorTitle="Not in list" operator="between" showDropDown="false" showErrorMessage="false" showInputMessage="false" sqref="F2:F303" type="list">
      <formula1>Lists!$A$2:$A$4</formula1>
      <formula2>0</formula2>
    </dataValidation>
    <dataValidation allowBlank="true" error="Choose a value from the list (see the Lists sheet)." errorStyle="stop" errorTitle="Not in list" operator="between" showDropDown="false" showErrorMessage="false" showInputMessage="false" sqref="G2:G303" type="list">
      <formula1>Lists!$B$2:$B$6</formula1>
      <formula2>0</formula2>
    </dataValidation>
    <dataValidation allowBlank="true" error="Choose a value from the list (see the Lists sheet)." errorStyle="stop" errorTitle="Not in list" operator="between" showDropDown="false" showErrorMessage="false" showInputMessage="false" sqref="K2:K303" type="list">
      <formula1>Lists!$E$2:$E$4</formula1>
      <formula2>0</formula2>
    </dataValidation>
    <dataValidation allowBlank="true" error="Choose a value from the list (see the Lists sheet)." errorStyle="stop" errorTitle="Not in list" operator="between" showDropDown="false" showErrorMessage="false" showInputMessage="false" sqref="M2:M303" type="list">
      <formula1>Lists!$M$2:$M$18</formula1>
      <formula2>0</formula2>
    </dataValidation>
    <dataValidation allowBlank="true" error="Choose a value from the list (see the Lists sheet)." errorStyle="stop" errorTitle="Not in list" operator="between" showDropDown="false" showErrorMessage="false" showInputMessage="false" sqref="N2:N303" type="list">
      <formula1>Lists!$D$2:$D$5</formula1>
      <formula2>0</formula2>
    </dataValidation>
    <dataValidation allowBlank="true" error="Choose a value from the list (see the Lists sheet)." errorStyle="stop" errorTitle="Not in list" operator="between" showDropDown="false" showErrorMessage="false" showInputMessage="false" sqref="O2:O303" type="list">
      <formula1>Lists!$C$2:$C$8</formula1>
      <formula2>0</formula2>
    </dataValidation>
    <dataValidation allowBlank="true" error="Choose a value from the list (see the Lists sheet)." errorStyle="stop" errorTitle="Not in list" operator="between" showDropDown="false" showErrorMessage="false" showInputMessage="false" sqref="U2:V303" type="list">
      <formula1>Lists!$F$2:$F$3</formula1>
      <formula2>0</formula2>
    </dataValidation>
    <dataValidation allowBlank="true" errorStyle="stop" operator="between" showDropDown="false" showErrorMessage="false" showInputMessage="false" sqref="I2:I303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7293"/>
    <pageSetUpPr fitToPage="true"/>
  </sheetPr>
  <dimension ref="A1:Q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10" min="7" style="0" width="11"/>
    <col collapsed="false" customWidth="true" hidden="false" outlineLevel="0" max="13" min="11" style="0" width="10"/>
    <col collapsed="false" customWidth="true" hidden="false" outlineLevel="0" max="14" min="14" style="0" width="26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11"/>
  </cols>
  <sheetData>
    <row r="1" customFormat="false" ht="42" hidden="false" customHeight="true" outlineLevel="0" collapsed="false">
      <c r="A1" s="16" t="s">
        <v>250</v>
      </c>
      <c r="B1" s="16" t="s">
        <v>251</v>
      </c>
      <c r="C1" s="16" t="s">
        <v>252</v>
      </c>
      <c r="D1" s="16" t="s">
        <v>253</v>
      </c>
      <c r="E1" s="16" t="s">
        <v>254</v>
      </c>
      <c r="F1" s="16" t="s">
        <v>255</v>
      </c>
      <c r="G1" s="16" t="s">
        <v>256</v>
      </c>
      <c r="H1" s="16" t="s">
        <v>257</v>
      </c>
      <c r="I1" s="16" t="s">
        <v>258</v>
      </c>
      <c r="J1" s="16" t="s">
        <v>259</v>
      </c>
      <c r="K1" s="16" t="s">
        <v>260</v>
      </c>
      <c r="L1" s="16" t="s">
        <v>261</v>
      </c>
      <c r="M1" s="24" t="s">
        <v>262</v>
      </c>
      <c r="N1" s="16" t="s">
        <v>263</v>
      </c>
      <c r="O1" s="16" t="s">
        <v>264</v>
      </c>
      <c r="P1" s="16" t="s">
        <v>84</v>
      </c>
      <c r="Q1" s="16" t="s">
        <v>88</v>
      </c>
    </row>
    <row r="2" customFormat="false" ht="23.85" hidden="false" customHeight="false" outlineLevel="0" collapsed="false">
      <c r="A2" s="25" t="s">
        <v>245</v>
      </c>
      <c r="B2" s="25" t="s">
        <v>265</v>
      </c>
      <c r="C2" s="25" t="s">
        <v>266</v>
      </c>
      <c r="D2" s="25" t="s">
        <v>267</v>
      </c>
      <c r="E2" s="25" t="s">
        <v>268</v>
      </c>
      <c r="F2" s="25" t="s">
        <v>269</v>
      </c>
      <c r="G2" s="25" t="s">
        <v>270</v>
      </c>
      <c r="H2" s="25" t="s">
        <v>271</v>
      </c>
      <c r="I2" s="25" t="s">
        <v>270</v>
      </c>
      <c r="J2" s="25" t="s">
        <v>270</v>
      </c>
      <c r="K2" s="25" t="n">
        <v>412</v>
      </c>
      <c r="L2" s="25" t="n">
        <v>430</v>
      </c>
      <c r="M2" s="28" t="n">
        <f aca="false">IF(OR(L2="",L2=0),"",K2/L2)</f>
        <v>0.958139534883721</v>
      </c>
      <c r="N2" s="25" t="s">
        <v>272</v>
      </c>
      <c r="O2" s="25" t="s">
        <v>234</v>
      </c>
      <c r="P2" s="25" t="s">
        <v>273</v>
      </c>
      <c r="Q2" s="26" t="n">
        <v>46335</v>
      </c>
    </row>
    <row r="3" customFormat="false" ht="15" hidden="false" customHeight="false" outlineLevel="0" collapsed="false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9" t="str">
        <f aca="false">IF(OR(L3="",L3=0),"",K3/L3)</f>
        <v/>
      </c>
      <c r="N3" s="20"/>
      <c r="O3" s="20"/>
      <c r="P3" s="20"/>
      <c r="Q3" s="21"/>
    </row>
    <row r="4" customFormat="false" ht="15" hidden="false" customHeight="false" outlineLevel="0" collapsed="false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9" t="str">
        <f aca="false">IF(OR(L4="",L4=0),"",K4/L4)</f>
        <v/>
      </c>
      <c r="N4" s="20"/>
      <c r="O4" s="20"/>
      <c r="P4" s="20"/>
      <c r="Q4" s="21"/>
    </row>
    <row r="5" customFormat="false" ht="15" hidden="false" customHeight="false" outlineLevel="0" collapsed="false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9" t="str">
        <f aca="false">IF(OR(L5="",L5=0),"",K5/L5)</f>
        <v/>
      </c>
      <c r="N5" s="20"/>
      <c r="O5" s="20"/>
      <c r="P5" s="20"/>
      <c r="Q5" s="21"/>
    </row>
    <row r="6" customFormat="false" ht="15" hidden="false" customHeight="false" outlineLevel="0" collapsed="false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9" t="str">
        <f aca="false">IF(OR(L6="",L6=0),"",K6/L6)</f>
        <v/>
      </c>
      <c r="N6" s="20"/>
      <c r="O6" s="20"/>
      <c r="P6" s="20"/>
      <c r="Q6" s="21"/>
    </row>
    <row r="7" customFormat="false" ht="15" hidden="false" customHeight="false" outlineLevel="0" collapsed="false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9" t="str">
        <f aca="false">IF(OR(L7="",L7=0),"",K7/L7)</f>
        <v/>
      </c>
      <c r="N7" s="20"/>
      <c r="O7" s="20"/>
      <c r="P7" s="20"/>
      <c r="Q7" s="21"/>
    </row>
    <row r="8" customFormat="false" ht="15" hidden="false" customHeight="false" outlineLevel="0" collapsed="false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9" t="str">
        <f aca="false">IF(OR(L8="",L8=0),"",K8/L8)</f>
        <v/>
      </c>
      <c r="N8" s="20"/>
      <c r="O8" s="20"/>
      <c r="P8" s="20"/>
      <c r="Q8" s="21"/>
    </row>
    <row r="9" customFormat="false" ht="15" hidden="false" customHeight="false" outlineLevel="0" collapsed="false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9" t="str">
        <f aca="false">IF(OR(L9="",L9=0),"",K9/L9)</f>
        <v/>
      </c>
      <c r="N9" s="20"/>
      <c r="O9" s="20"/>
      <c r="P9" s="20"/>
      <c r="Q9" s="21"/>
    </row>
    <row r="10" customFormat="false" ht="15" hidden="false" customHeight="fals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9" t="str">
        <f aca="false">IF(OR(L10="",L10=0),"",K10/L10)</f>
        <v/>
      </c>
      <c r="N10" s="20"/>
      <c r="O10" s="20"/>
      <c r="P10" s="20"/>
      <c r="Q10" s="21"/>
    </row>
    <row r="11" customFormat="false" ht="15" hidden="false" customHeight="false" outlineLevel="0" collapsed="false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9" t="str">
        <f aca="false">IF(OR(L11="",L11=0),"",K11/L11)</f>
        <v/>
      </c>
      <c r="N11" s="20"/>
      <c r="O11" s="20"/>
      <c r="P11" s="20"/>
      <c r="Q11" s="21"/>
    </row>
    <row r="12" customFormat="false" ht="15" hidden="false" customHeight="false" outlineLevel="0" collapsed="false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9" t="str">
        <f aca="false">IF(OR(L12="",L12=0),"",K12/L12)</f>
        <v/>
      </c>
      <c r="N12" s="20"/>
      <c r="O12" s="20"/>
      <c r="P12" s="20"/>
      <c r="Q12" s="21"/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9" t="str">
        <f aca="false">IF(OR(L13="",L13=0),"",K13/L13)</f>
        <v/>
      </c>
      <c r="N13" s="20"/>
      <c r="O13" s="20"/>
      <c r="P13" s="20"/>
      <c r="Q13" s="21"/>
    </row>
    <row r="14" customFormat="false" ht="15" hidden="false" customHeight="false" outlineLevel="0" collapsed="false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9" t="str">
        <f aca="false">IF(OR(L14="",L14=0),"",K14/L14)</f>
        <v/>
      </c>
      <c r="N14" s="20"/>
      <c r="O14" s="20"/>
      <c r="P14" s="20"/>
      <c r="Q14" s="21"/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9" t="str">
        <f aca="false">IF(OR(L15="",L15=0),"",K15/L15)</f>
        <v/>
      </c>
      <c r="N15" s="20"/>
      <c r="O15" s="20"/>
      <c r="P15" s="20"/>
      <c r="Q15" s="21"/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9" t="str">
        <f aca="false">IF(OR(L16="",L16=0),"",K16/L16)</f>
        <v/>
      </c>
      <c r="N16" s="20"/>
      <c r="O16" s="20"/>
      <c r="P16" s="20"/>
      <c r="Q16" s="21"/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9" t="str">
        <f aca="false">IF(OR(L17="",L17=0),"",K17/L17)</f>
        <v/>
      </c>
      <c r="N17" s="20"/>
      <c r="O17" s="20"/>
      <c r="P17" s="20"/>
      <c r="Q17" s="21"/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9" t="str">
        <f aca="false">IF(OR(L18="",L18=0),"",K18/L18)</f>
        <v/>
      </c>
      <c r="N18" s="20"/>
      <c r="O18" s="20"/>
      <c r="P18" s="20"/>
      <c r="Q18" s="21"/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9" t="str">
        <f aca="false">IF(OR(L19="",L19=0),"",K19/L19)</f>
        <v/>
      </c>
      <c r="N19" s="20"/>
      <c r="O19" s="20"/>
      <c r="P19" s="20"/>
      <c r="Q19" s="21"/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9" t="str">
        <f aca="false">IF(OR(L20="",L20=0),"",K20/L20)</f>
        <v/>
      </c>
      <c r="N20" s="20"/>
      <c r="O20" s="20"/>
      <c r="P20" s="20"/>
      <c r="Q20" s="21"/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9" t="str">
        <f aca="false">IF(OR(L21="",L21=0),"",K21/L21)</f>
        <v/>
      </c>
      <c r="N21" s="20"/>
      <c r="O21" s="20"/>
      <c r="P21" s="20"/>
      <c r="Q21" s="21"/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9" t="str">
        <f aca="false">IF(OR(L22="",L22=0),"",K22/L22)</f>
        <v/>
      </c>
      <c r="N22" s="20"/>
      <c r="O22" s="20"/>
      <c r="P22" s="20"/>
      <c r="Q22" s="21"/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9" t="str">
        <f aca="false">IF(OR(L23="",L23=0),"",K23/L23)</f>
        <v/>
      </c>
      <c r="N23" s="20"/>
      <c r="O23" s="20"/>
      <c r="P23" s="20"/>
      <c r="Q23" s="21"/>
    </row>
    <row r="24" customFormat="false" ht="15" hidden="false" customHeight="fals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9" t="str">
        <f aca="false">IF(OR(L24="",L24=0),"",K24/L24)</f>
        <v/>
      </c>
      <c r="N24" s="20"/>
      <c r="O24" s="20"/>
      <c r="P24" s="20"/>
      <c r="Q24" s="21"/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9" t="str">
        <f aca="false">IF(OR(L25="",L25=0),"",K25/L25)</f>
        <v/>
      </c>
      <c r="N25" s="20"/>
      <c r="O25" s="20"/>
      <c r="P25" s="20"/>
      <c r="Q25" s="21"/>
    </row>
    <row r="26" customFormat="false" ht="15" hidden="false" customHeight="fals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9" t="str">
        <f aca="false">IF(OR(L26="",L26=0),"",K26/L26)</f>
        <v/>
      </c>
      <c r="N26" s="20"/>
      <c r="O26" s="20"/>
      <c r="P26" s="20"/>
      <c r="Q26" s="21"/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9" t="str">
        <f aca="false">IF(OR(L27="",L27=0),"",K27/L27)</f>
        <v/>
      </c>
      <c r="N27" s="20"/>
      <c r="O27" s="20"/>
      <c r="P27" s="20"/>
      <c r="Q27" s="21"/>
    </row>
    <row r="28" customFormat="false" ht="15" hidden="false" customHeight="fals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9" t="str">
        <f aca="false">IF(OR(L28="",L28=0),"",K28/L28)</f>
        <v/>
      </c>
      <c r="N28" s="20"/>
      <c r="O28" s="20"/>
      <c r="P28" s="20"/>
      <c r="Q28" s="21"/>
    </row>
    <row r="29" customFormat="false" ht="15" hidden="false" customHeight="fals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9" t="str">
        <f aca="false">IF(OR(L29="",L29=0),"",K29/L29)</f>
        <v/>
      </c>
      <c r="N29" s="20"/>
      <c r="O29" s="20"/>
      <c r="P29" s="20"/>
      <c r="Q29" s="21"/>
    </row>
    <row r="30" customFormat="false" ht="15" hidden="false" customHeight="fals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9" t="str">
        <f aca="false">IF(OR(L30="",L30=0),"",K30/L30)</f>
        <v/>
      </c>
      <c r="N30" s="20"/>
      <c r="O30" s="20"/>
      <c r="P30" s="20"/>
      <c r="Q30" s="21"/>
    </row>
    <row r="31" customFormat="false" ht="1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9" t="str">
        <f aca="false">IF(OR(L31="",L31=0),"",K31/L31)</f>
        <v/>
      </c>
      <c r="N31" s="20"/>
      <c r="O31" s="20"/>
      <c r="P31" s="20"/>
      <c r="Q31" s="21"/>
    </row>
    <row r="32" customFormat="false" ht="15" hidden="false" customHeight="fals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9" t="str">
        <f aca="false">IF(OR(L32="",L32=0),"",K32/L32)</f>
        <v/>
      </c>
      <c r="N32" s="20"/>
      <c r="O32" s="20"/>
      <c r="P32" s="20"/>
      <c r="Q32" s="21"/>
    </row>
    <row r="33" customFormat="false" ht="15" hidden="false" customHeight="false" outlineLevel="0" collapsed="false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9" t="str">
        <f aca="false">IF(OR(L33="",L33=0),"",K33/L33)</f>
        <v/>
      </c>
      <c r="N33" s="20"/>
      <c r="O33" s="20"/>
      <c r="P33" s="20"/>
      <c r="Q33" s="21"/>
    </row>
    <row r="34" customFormat="false" ht="1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9" t="str">
        <f aca="false">IF(OR(L34="",L34=0),"",K34/L34)</f>
        <v/>
      </c>
      <c r="N34" s="20"/>
      <c r="O34" s="20"/>
      <c r="P34" s="20"/>
      <c r="Q34" s="21"/>
    </row>
    <row r="35" customFormat="false" ht="15" hidden="false" customHeight="fals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9" t="str">
        <f aca="false">IF(OR(L35="",L35=0),"",K35/L35)</f>
        <v/>
      </c>
      <c r="N35" s="20"/>
      <c r="O35" s="20"/>
      <c r="P35" s="20"/>
      <c r="Q35" s="21"/>
    </row>
    <row r="36" customFormat="false" ht="15" hidden="false" customHeight="fals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9" t="str">
        <f aca="false">IF(OR(L36="",L36=0),"",K36/L36)</f>
        <v/>
      </c>
      <c r="N36" s="20"/>
      <c r="O36" s="20"/>
      <c r="P36" s="20"/>
      <c r="Q36" s="21"/>
    </row>
    <row r="37" customFormat="false" ht="15" hidden="false" customHeight="fals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9" t="str">
        <f aca="false">IF(OR(L37="",L37=0),"",K37/L37)</f>
        <v/>
      </c>
      <c r="N37" s="20"/>
      <c r="O37" s="20"/>
      <c r="P37" s="20"/>
      <c r="Q37" s="21"/>
    </row>
    <row r="38" customFormat="false" ht="15" hidden="false" customHeight="fals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9" t="str">
        <f aca="false">IF(OR(L38="",L38=0),"",K38/L38)</f>
        <v/>
      </c>
      <c r="N38" s="20"/>
      <c r="O38" s="20"/>
      <c r="P38" s="20"/>
      <c r="Q38" s="21"/>
    </row>
    <row r="39" customFormat="false" ht="1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9" t="str">
        <f aca="false">IF(OR(L39="",L39=0),"",K39/L39)</f>
        <v/>
      </c>
      <c r="N39" s="20"/>
      <c r="O39" s="20"/>
      <c r="P39" s="20"/>
      <c r="Q39" s="21"/>
    </row>
    <row r="40" customFormat="false" ht="15" hidden="false" customHeight="false" outlineLevel="0" collapsed="false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9" t="str">
        <f aca="false">IF(OR(L40="",L40=0),"",K40/L40)</f>
        <v/>
      </c>
      <c r="N40" s="20"/>
      <c r="O40" s="20"/>
      <c r="P40" s="20"/>
      <c r="Q40" s="21"/>
    </row>
    <row r="41" customFormat="false" ht="15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9" t="str">
        <f aca="false">IF(OR(L41="",L41=0),"",K41/L41)</f>
        <v/>
      </c>
      <c r="N41" s="20"/>
      <c r="O41" s="20"/>
      <c r="P41" s="20"/>
      <c r="Q41" s="21"/>
    </row>
    <row r="42" customFormat="false" ht="15" hidden="false" customHeight="fals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9" t="str">
        <f aca="false">IF(OR(L42="",L42=0),"",K42/L42)</f>
        <v/>
      </c>
      <c r="N42" s="20"/>
      <c r="O42" s="20"/>
      <c r="P42" s="20"/>
      <c r="Q42" s="21"/>
    </row>
    <row r="43" customFormat="false" ht="15" hidden="false" customHeight="false" outlineLevel="0" collapsed="false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9" t="str">
        <f aca="false">IF(OR(L43="",L43=0),"",K43/L43)</f>
        <v/>
      </c>
      <c r="N43" s="20"/>
      <c r="O43" s="20"/>
      <c r="P43" s="20"/>
      <c r="Q43" s="21"/>
    </row>
    <row r="44" customFormat="false" ht="15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9" t="str">
        <f aca="false">IF(OR(L44="",L44=0),"",K44/L44)</f>
        <v/>
      </c>
      <c r="N44" s="20"/>
      <c r="O44" s="20"/>
      <c r="P44" s="20"/>
      <c r="Q44" s="21"/>
    </row>
    <row r="45" customFormat="false" ht="15" hidden="false" customHeight="false" outlineLevel="0" collapsed="false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9" t="str">
        <f aca="false">IF(OR(L45="",L45=0),"",K45/L45)</f>
        <v/>
      </c>
      <c r="N45" s="20"/>
      <c r="O45" s="20"/>
      <c r="P45" s="20"/>
      <c r="Q45" s="21"/>
    </row>
    <row r="46" customFormat="false" ht="15" hidden="false" customHeight="fals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9" t="str">
        <f aca="false">IF(OR(L46="",L46=0),"",K46/L46)</f>
        <v/>
      </c>
      <c r="N46" s="20"/>
      <c r="O46" s="20"/>
      <c r="P46" s="20"/>
      <c r="Q46" s="21"/>
    </row>
    <row r="47" customFormat="false" ht="15" hidden="false" customHeight="fals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9" t="str">
        <f aca="false">IF(OR(L47="",L47=0),"",K47/L47)</f>
        <v/>
      </c>
      <c r="N47" s="20"/>
      <c r="O47" s="20"/>
      <c r="P47" s="20"/>
      <c r="Q47" s="21"/>
    </row>
    <row r="48" customFormat="false" ht="1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9" t="str">
        <f aca="false">IF(OR(L48="",L48=0),"",K48/L48)</f>
        <v/>
      </c>
      <c r="N48" s="20"/>
      <c r="O48" s="20"/>
      <c r="P48" s="20"/>
      <c r="Q48" s="21"/>
    </row>
    <row r="49" customFormat="false" ht="1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9" t="str">
        <f aca="false">IF(OR(L49="",L49=0),"",K49/L49)</f>
        <v/>
      </c>
      <c r="N49" s="20"/>
      <c r="O49" s="20"/>
      <c r="P49" s="20"/>
      <c r="Q49" s="21"/>
    </row>
    <row r="50" customFormat="false" ht="1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9" t="str">
        <f aca="false">IF(OR(L50="",L50=0),"",K50/L50)</f>
        <v/>
      </c>
      <c r="N50" s="20"/>
      <c r="O50" s="20"/>
      <c r="P50" s="20"/>
      <c r="Q50" s="21"/>
    </row>
    <row r="51" customFormat="false" ht="1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9" t="str">
        <f aca="false">IF(OR(L51="",L51=0),"",K51/L51)</f>
        <v/>
      </c>
      <c r="N51" s="20"/>
      <c r="O51" s="20"/>
      <c r="P51" s="20"/>
      <c r="Q51" s="21"/>
    </row>
    <row r="52" customFormat="false" ht="1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9" t="str">
        <f aca="false">IF(OR(L52="",L52=0),"",K52/L52)</f>
        <v/>
      </c>
      <c r="N52" s="20"/>
      <c r="O52" s="20"/>
      <c r="P52" s="20"/>
      <c r="Q52" s="21"/>
    </row>
    <row r="53" customFormat="false" ht="1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9" t="str">
        <f aca="false">IF(OR(L53="",L53=0),"",K53/L53)</f>
        <v/>
      </c>
      <c r="N53" s="20"/>
      <c r="O53" s="20"/>
      <c r="P53" s="20"/>
      <c r="Q53" s="21"/>
    </row>
    <row r="54" customFormat="false" ht="1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9" t="str">
        <f aca="false">IF(OR(L54="",L54=0),"",K54/L54)</f>
        <v/>
      </c>
      <c r="N54" s="20"/>
      <c r="O54" s="20"/>
      <c r="P54" s="20"/>
      <c r="Q54" s="21"/>
    </row>
    <row r="55" customFormat="false" ht="1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9" t="str">
        <f aca="false">IF(OR(L55="",L55=0),"",K55/L55)</f>
        <v/>
      </c>
      <c r="N55" s="20"/>
      <c r="O55" s="20"/>
      <c r="P55" s="20"/>
      <c r="Q55" s="21"/>
    </row>
    <row r="56" customFormat="false" ht="1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9" t="str">
        <f aca="false">IF(OR(L56="",L56=0),"",K56/L56)</f>
        <v/>
      </c>
      <c r="N56" s="20"/>
      <c r="O56" s="20"/>
      <c r="P56" s="20"/>
      <c r="Q56" s="21"/>
    </row>
    <row r="57" customFormat="false" ht="1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9" t="str">
        <f aca="false">IF(OR(L57="",L57=0),"",K57/L57)</f>
        <v/>
      </c>
      <c r="N57" s="20"/>
      <c r="O57" s="20"/>
      <c r="P57" s="20"/>
      <c r="Q57" s="21"/>
    </row>
    <row r="58" customFormat="false" ht="1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9" t="str">
        <f aca="false">IF(OR(L58="",L58=0),"",K58/L58)</f>
        <v/>
      </c>
      <c r="N58" s="20"/>
      <c r="O58" s="20"/>
      <c r="P58" s="20"/>
      <c r="Q58" s="21"/>
    </row>
    <row r="59" customFormat="false" ht="1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9" t="str">
        <f aca="false">IF(OR(L59="",L59=0),"",K59/L59)</f>
        <v/>
      </c>
      <c r="N59" s="20"/>
      <c r="O59" s="20"/>
      <c r="P59" s="20"/>
      <c r="Q59" s="21"/>
    </row>
    <row r="60" customFormat="false" ht="1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9" t="str">
        <f aca="false">IF(OR(L60="",L60=0),"",K60/L60)</f>
        <v/>
      </c>
      <c r="N60" s="20"/>
      <c r="O60" s="20"/>
      <c r="P60" s="20"/>
      <c r="Q60" s="21"/>
    </row>
    <row r="61" customFormat="false" ht="1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9" t="str">
        <f aca="false">IF(OR(L61="",L61=0),"",K61/L61)</f>
        <v/>
      </c>
      <c r="N61" s="20"/>
      <c r="O61" s="20"/>
      <c r="P61" s="20"/>
      <c r="Q61" s="21"/>
    </row>
    <row r="62" customFormat="false" ht="1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9" t="str">
        <f aca="false">IF(OR(L62="",L62=0),"",K62/L62)</f>
        <v/>
      </c>
      <c r="N62" s="20"/>
      <c r="O62" s="20"/>
      <c r="P62" s="20"/>
      <c r="Q62" s="21"/>
    </row>
    <row r="63" customFormat="false" ht="1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9" t="str">
        <f aca="false">IF(OR(L63="",L63=0),"",K63/L63)</f>
        <v/>
      </c>
      <c r="N63" s="20"/>
      <c r="O63" s="20"/>
      <c r="P63" s="20"/>
      <c r="Q63" s="21"/>
    </row>
    <row r="64" customFormat="false" ht="1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9" t="str">
        <f aca="false">IF(OR(L64="",L64=0),"",K64/L64)</f>
        <v/>
      </c>
      <c r="N64" s="20"/>
      <c r="O64" s="20"/>
      <c r="P64" s="20"/>
      <c r="Q64" s="21"/>
    </row>
    <row r="65" customFormat="false" ht="1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9" t="str">
        <f aca="false">IF(OR(L65="",L65=0),"",K65/L65)</f>
        <v/>
      </c>
      <c r="N65" s="20"/>
      <c r="O65" s="20"/>
      <c r="P65" s="20"/>
      <c r="Q65" s="21"/>
    </row>
    <row r="66" customFormat="false" ht="1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9" t="str">
        <f aca="false">IF(OR(L66="",L66=0),"",K66/L66)</f>
        <v/>
      </c>
      <c r="N66" s="20"/>
      <c r="O66" s="20"/>
      <c r="P66" s="20"/>
      <c r="Q66" s="21"/>
    </row>
    <row r="67" customFormat="false" ht="1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9" t="str">
        <f aca="false">IF(OR(L67="",L67=0),"",K67/L67)</f>
        <v/>
      </c>
      <c r="N67" s="20"/>
      <c r="O67" s="20"/>
      <c r="P67" s="20"/>
      <c r="Q67" s="21"/>
    </row>
    <row r="68" customFormat="false" ht="1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9" t="str">
        <f aca="false">IF(OR(L68="",L68=0),"",K68/L68)</f>
        <v/>
      </c>
      <c r="N68" s="20"/>
      <c r="O68" s="20"/>
      <c r="P68" s="20"/>
      <c r="Q68" s="21"/>
    </row>
    <row r="69" customFormat="false" ht="1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9" t="str">
        <f aca="false">IF(OR(L69="",L69=0),"",K69/L69)</f>
        <v/>
      </c>
      <c r="N69" s="20"/>
      <c r="O69" s="20"/>
      <c r="P69" s="20"/>
      <c r="Q69" s="21"/>
    </row>
    <row r="70" customFormat="false" ht="1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9" t="str">
        <f aca="false">IF(OR(L70="",L70=0),"",K70/L70)</f>
        <v/>
      </c>
      <c r="N70" s="20"/>
      <c r="O70" s="20"/>
      <c r="P70" s="20"/>
      <c r="Q70" s="21"/>
    </row>
    <row r="71" customFormat="false" ht="1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9" t="str">
        <f aca="false">IF(OR(L71="",L71=0),"",K71/L71)</f>
        <v/>
      </c>
      <c r="N71" s="20"/>
      <c r="O71" s="20"/>
      <c r="P71" s="20"/>
      <c r="Q71" s="21"/>
    </row>
    <row r="72" customFormat="false" ht="1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9" t="str">
        <f aca="false">IF(OR(L72="",L72=0),"",K72/L72)</f>
        <v/>
      </c>
      <c r="N72" s="20"/>
      <c r="O72" s="20"/>
      <c r="P72" s="20"/>
      <c r="Q72" s="21"/>
    </row>
    <row r="73" customFormat="false" ht="1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9" t="str">
        <f aca="false">IF(OR(L73="",L73=0),"",K73/L73)</f>
        <v/>
      </c>
      <c r="N73" s="20"/>
      <c r="O73" s="20"/>
      <c r="P73" s="20"/>
      <c r="Q73" s="21"/>
    </row>
    <row r="74" customFormat="false" ht="1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9" t="str">
        <f aca="false">IF(OR(L74="",L74=0),"",K74/L74)</f>
        <v/>
      </c>
      <c r="N74" s="20"/>
      <c r="O74" s="20"/>
      <c r="P74" s="20"/>
      <c r="Q74" s="21"/>
    </row>
    <row r="75" customFormat="false" ht="1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9" t="str">
        <f aca="false">IF(OR(L75="",L75=0),"",K75/L75)</f>
        <v/>
      </c>
      <c r="N75" s="20"/>
      <c r="O75" s="20"/>
      <c r="P75" s="20"/>
      <c r="Q75" s="21"/>
    </row>
    <row r="76" customFormat="false" ht="1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9" t="str">
        <f aca="false">IF(OR(L76="",L76=0),"",K76/L76)</f>
        <v/>
      </c>
      <c r="N76" s="20"/>
      <c r="O76" s="20"/>
      <c r="P76" s="20"/>
      <c r="Q76" s="21"/>
    </row>
    <row r="77" customFormat="false" ht="1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9" t="str">
        <f aca="false">IF(OR(L77="",L77=0),"",K77/L77)</f>
        <v/>
      </c>
      <c r="N77" s="20"/>
      <c r="O77" s="20"/>
      <c r="P77" s="20"/>
      <c r="Q77" s="21"/>
    </row>
    <row r="78" customFormat="false" ht="1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9" t="str">
        <f aca="false">IF(OR(L78="",L78=0),"",K78/L78)</f>
        <v/>
      </c>
      <c r="N78" s="20"/>
      <c r="O78" s="20"/>
      <c r="P78" s="20"/>
      <c r="Q78" s="21"/>
    </row>
    <row r="79" customFormat="false" ht="1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9" t="str">
        <f aca="false">IF(OR(L79="",L79=0),"",K79/L79)</f>
        <v/>
      </c>
      <c r="N79" s="20"/>
      <c r="O79" s="20"/>
      <c r="P79" s="20"/>
      <c r="Q79" s="21"/>
    </row>
    <row r="80" customFormat="false" ht="1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9" t="str">
        <f aca="false">IF(OR(L80="",L80=0),"",K80/L80)</f>
        <v/>
      </c>
      <c r="N80" s="20"/>
      <c r="O80" s="20"/>
      <c r="P80" s="20"/>
      <c r="Q80" s="21"/>
    </row>
    <row r="81" customFormat="false" ht="1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9" t="str">
        <f aca="false">IF(OR(L81="",L81=0),"",K81/L81)</f>
        <v/>
      </c>
      <c r="N81" s="20"/>
      <c r="O81" s="20"/>
      <c r="P81" s="20"/>
      <c r="Q81" s="21"/>
    </row>
    <row r="82" customFormat="false" ht="1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9" t="str">
        <f aca="false">IF(OR(L82="",L82=0),"",K82/L82)</f>
        <v/>
      </c>
      <c r="N82" s="20"/>
      <c r="O82" s="20"/>
      <c r="P82" s="20"/>
      <c r="Q82" s="21"/>
    </row>
    <row r="83" customFormat="false" ht="1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9" t="str">
        <f aca="false">IF(OR(L83="",L83=0),"",K83/L83)</f>
        <v/>
      </c>
      <c r="N83" s="20"/>
      <c r="O83" s="20"/>
      <c r="P83" s="20"/>
      <c r="Q83" s="21"/>
    </row>
    <row r="84" customFormat="false" ht="1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9" t="str">
        <f aca="false">IF(OR(L84="",L84=0),"",K84/L84)</f>
        <v/>
      </c>
      <c r="N84" s="20"/>
      <c r="O84" s="20"/>
      <c r="P84" s="20"/>
      <c r="Q84" s="21"/>
    </row>
    <row r="85" customFormat="false" ht="1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9" t="str">
        <f aca="false">IF(OR(L85="",L85=0),"",K85/L85)</f>
        <v/>
      </c>
      <c r="N85" s="20"/>
      <c r="O85" s="20"/>
      <c r="P85" s="20"/>
      <c r="Q85" s="21"/>
    </row>
    <row r="86" customFormat="false" ht="1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9" t="str">
        <f aca="false">IF(OR(L86="",L86=0),"",K86/L86)</f>
        <v/>
      </c>
      <c r="N86" s="20"/>
      <c r="O86" s="20"/>
      <c r="P86" s="20"/>
      <c r="Q86" s="21"/>
    </row>
    <row r="87" customFormat="false" ht="1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9" t="str">
        <f aca="false">IF(OR(L87="",L87=0),"",K87/L87)</f>
        <v/>
      </c>
      <c r="N87" s="20"/>
      <c r="O87" s="20"/>
      <c r="P87" s="20"/>
      <c r="Q87" s="21"/>
    </row>
    <row r="88" customFormat="false" ht="1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9" t="str">
        <f aca="false">IF(OR(L88="",L88=0),"",K88/L88)</f>
        <v/>
      </c>
      <c r="N88" s="20"/>
      <c r="O88" s="20"/>
      <c r="P88" s="20"/>
      <c r="Q88" s="21"/>
    </row>
    <row r="89" customFormat="false" ht="1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9" t="str">
        <f aca="false">IF(OR(L89="",L89=0),"",K89/L89)</f>
        <v/>
      </c>
      <c r="N89" s="20"/>
      <c r="O89" s="20"/>
      <c r="P89" s="20"/>
      <c r="Q89" s="21"/>
    </row>
    <row r="90" customFormat="false" ht="1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9" t="str">
        <f aca="false">IF(OR(L90="",L90=0),"",K90/L90)</f>
        <v/>
      </c>
      <c r="N90" s="20"/>
      <c r="O90" s="20"/>
      <c r="P90" s="20"/>
      <c r="Q90" s="21"/>
    </row>
    <row r="91" customFormat="false" ht="1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9" t="str">
        <f aca="false">IF(OR(L91="",L91=0),"",K91/L91)</f>
        <v/>
      </c>
      <c r="N91" s="20"/>
      <c r="O91" s="20"/>
      <c r="P91" s="20"/>
      <c r="Q91" s="21"/>
    </row>
    <row r="92" customFormat="false" ht="1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9" t="str">
        <f aca="false">IF(OR(L92="",L92=0),"",K92/L92)</f>
        <v/>
      </c>
      <c r="N92" s="20"/>
      <c r="O92" s="20"/>
      <c r="P92" s="20"/>
      <c r="Q92" s="21"/>
    </row>
    <row r="93" customFormat="false" ht="1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9" t="str">
        <f aca="false">IF(OR(L93="",L93=0),"",K93/L93)</f>
        <v/>
      </c>
      <c r="N93" s="20"/>
      <c r="O93" s="20"/>
      <c r="P93" s="20"/>
      <c r="Q93" s="21"/>
    </row>
    <row r="94" customFormat="false" ht="1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9" t="str">
        <f aca="false">IF(OR(L94="",L94=0),"",K94/L94)</f>
        <v/>
      </c>
      <c r="N94" s="20"/>
      <c r="O94" s="20"/>
      <c r="P94" s="20"/>
      <c r="Q94" s="21"/>
    </row>
    <row r="95" customFormat="false" ht="1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9" t="str">
        <f aca="false">IF(OR(L95="",L95=0),"",K95/L95)</f>
        <v/>
      </c>
      <c r="N95" s="20"/>
      <c r="O95" s="20"/>
      <c r="P95" s="20"/>
      <c r="Q95" s="21"/>
    </row>
    <row r="96" customFormat="false" ht="1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9" t="str">
        <f aca="false">IF(OR(L96="",L96=0),"",K96/L96)</f>
        <v/>
      </c>
      <c r="N96" s="20"/>
      <c r="O96" s="20"/>
      <c r="P96" s="20"/>
      <c r="Q96" s="21"/>
    </row>
    <row r="97" customFormat="false" ht="1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9" t="str">
        <f aca="false">IF(OR(L97="",L97=0),"",K97/L97)</f>
        <v/>
      </c>
      <c r="N97" s="20"/>
      <c r="O97" s="20"/>
      <c r="P97" s="20"/>
      <c r="Q97" s="21"/>
    </row>
    <row r="98" customFormat="false" ht="1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9" t="str">
        <f aca="false">IF(OR(L98="",L98=0),"",K98/L98)</f>
        <v/>
      </c>
      <c r="N98" s="20"/>
      <c r="O98" s="20"/>
      <c r="P98" s="20"/>
      <c r="Q98" s="21"/>
    </row>
    <row r="99" customFormat="false" ht="1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9" t="str">
        <f aca="false">IF(OR(L99="",L99=0),"",K99/L99)</f>
        <v/>
      </c>
      <c r="N99" s="20"/>
      <c r="O99" s="20"/>
      <c r="P99" s="20"/>
      <c r="Q99" s="21"/>
    </row>
    <row r="100" customFormat="false" ht="1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9" t="str">
        <f aca="false">IF(OR(L100="",L100=0),"",K100/L100)</f>
        <v/>
      </c>
      <c r="N100" s="20"/>
      <c r="O100" s="20"/>
      <c r="P100" s="20"/>
      <c r="Q100" s="21"/>
    </row>
  </sheetData>
  <autoFilter ref="A1:Q100"/>
  <dataValidations count="2">
    <dataValidation allowBlank="true" error="Choose a value from the list (see the Lists sheet)." errorStyle="stop" errorTitle="Not in list" operator="between" showDropDown="false" showErrorMessage="false" showInputMessage="false" sqref="G2:J100" type="list">
      <formula1>Lists!$H$2:$H$6</formula1>
      <formula2>0</formula2>
    </dataValidation>
    <dataValidation allowBlank="true" error="Choose a value from the list (see the Lists sheet)." errorStyle="stop" errorTitle="Not in list" operator="between" showDropDown="false" showErrorMessage="false" showInputMessage="false" sqref="P2:P100" type="list">
      <formula1>Lists!$N$2:$N$5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7293"/>
    <pageSetUpPr fitToPage="true"/>
  </sheetPr>
  <dimension ref="A1:O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4" min="11" style="0" width="10"/>
    <col collapsed="false" customWidth="true" hidden="false" outlineLevel="0" max="15" min="15" style="0" width="34"/>
  </cols>
  <sheetData>
    <row r="1" customFormat="false" ht="42" hidden="false" customHeight="true" outlineLevel="0" collapsed="false">
      <c r="A1" s="16" t="s">
        <v>274</v>
      </c>
      <c r="B1" s="16" t="s">
        <v>275</v>
      </c>
      <c r="C1" s="16" t="s">
        <v>276</v>
      </c>
      <c r="D1" s="16" t="s">
        <v>277</v>
      </c>
      <c r="E1" s="16" t="s">
        <v>278</v>
      </c>
      <c r="F1" s="16" t="s">
        <v>279</v>
      </c>
      <c r="G1" s="16" t="s">
        <v>280</v>
      </c>
      <c r="H1" s="16" t="s">
        <v>281</v>
      </c>
      <c r="I1" s="16" t="s">
        <v>282</v>
      </c>
      <c r="J1" s="16" t="s">
        <v>283</v>
      </c>
      <c r="K1" s="16" t="s">
        <v>284</v>
      </c>
      <c r="L1" s="16" t="s">
        <v>285</v>
      </c>
      <c r="M1" s="24" t="s">
        <v>262</v>
      </c>
      <c r="N1" s="24" t="s">
        <v>286</v>
      </c>
      <c r="O1" s="16" t="s">
        <v>287</v>
      </c>
    </row>
    <row r="2" customFormat="false" ht="30" hidden="false" customHeight="true" outlineLevel="0" collapsed="false">
      <c r="A2" s="20" t="s">
        <v>288</v>
      </c>
      <c r="B2" s="20" t="s">
        <v>289</v>
      </c>
      <c r="C2" s="20" t="s">
        <v>290</v>
      </c>
      <c r="D2" s="20"/>
      <c r="E2" s="20"/>
      <c r="F2" s="20"/>
      <c r="G2" s="20"/>
      <c r="H2" s="20"/>
      <c r="I2" s="20"/>
      <c r="J2" s="20"/>
      <c r="K2" s="20"/>
      <c r="L2" s="20"/>
      <c r="M2" s="29" t="str">
        <f aca="false">IF(OR(K2="",K2=0),"",L2/K2)</f>
        <v/>
      </c>
      <c r="N2" s="27" t="str">
        <f aca="false">IF(A2="","",IF(AND(E2="Y",F2="Y",G2="Y",H2="Y",OR(I2="Y",I2="N/A"),J2="Pass",N(M2)&gt;=Lists!$U$16),"Yes","No"))</f>
        <v>No</v>
      </c>
      <c r="O2" s="20"/>
    </row>
    <row r="3" customFormat="false" ht="30" hidden="false" customHeight="true" outlineLevel="0" collapsed="false">
      <c r="A3" s="20" t="s">
        <v>291</v>
      </c>
      <c r="B3" s="20" t="s">
        <v>292</v>
      </c>
      <c r="C3" s="20" t="s">
        <v>293</v>
      </c>
      <c r="D3" s="20"/>
      <c r="E3" s="20"/>
      <c r="F3" s="20"/>
      <c r="G3" s="20"/>
      <c r="H3" s="20"/>
      <c r="I3" s="20"/>
      <c r="J3" s="20"/>
      <c r="K3" s="20"/>
      <c r="L3" s="20"/>
      <c r="M3" s="29" t="str">
        <f aca="false">IF(OR(K3="",K3=0),"",L3/K3)</f>
        <v/>
      </c>
      <c r="N3" s="27" t="str">
        <f aca="false">IF(A3="","",IF(AND(E3="Y",F3="Y",G3="Y",H3="Y",OR(I3="Y",I3="N/A"),J3="Pass",N(M3)&gt;=Lists!$U$16),"Yes","No"))</f>
        <v>No</v>
      </c>
      <c r="O3" s="20"/>
    </row>
    <row r="4" customFormat="false" ht="30" hidden="false" customHeight="true" outlineLevel="0" collapsed="false">
      <c r="A4" s="20" t="s">
        <v>294</v>
      </c>
      <c r="B4" s="20" t="s">
        <v>295</v>
      </c>
      <c r="C4" s="20" t="s">
        <v>296</v>
      </c>
      <c r="D4" s="20"/>
      <c r="E4" s="20"/>
      <c r="F4" s="20"/>
      <c r="G4" s="20"/>
      <c r="H4" s="20"/>
      <c r="I4" s="20"/>
      <c r="J4" s="20"/>
      <c r="K4" s="20"/>
      <c r="L4" s="20"/>
      <c r="M4" s="29" t="str">
        <f aca="false">IF(OR(K4="",K4=0),"",L4/K4)</f>
        <v/>
      </c>
      <c r="N4" s="27" t="str">
        <f aca="false">IF(A4="","",IF(AND(E4="Y",F4="Y",G4="Y",H4="Y",OR(I4="Y",I4="N/A"),J4="Pass",N(M4)&gt;=Lists!$U$16),"Yes","No"))</f>
        <v>No</v>
      </c>
      <c r="O4" s="20"/>
    </row>
    <row r="5" customFormat="false" ht="30" hidden="false" customHeight="true" outlineLevel="0" collapsed="false">
      <c r="A5" s="20" t="s">
        <v>297</v>
      </c>
      <c r="B5" s="20" t="s">
        <v>298</v>
      </c>
      <c r="C5" s="20" t="s">
        <v>299</v>
      </c>
      <c r="D5" s="20"/>
      <c r="E5" s="20"/>
      <c r="F5" s="20"/>
      <c r="G5" s="20"/>
      <c r="H5" s="20"/>
      <c r="I5" s="20"/>
      <c r="J5" s="20"/>
      <c r="K5" s="20"/>
      <c r="L5" s="20"/>
      <c r="M5" s="29" t="str">
        <f aca="false">IF(OR(K5="",K5=0),"",L5/K5)</f>
        <v/>
      </c>
      <c r="N5" s="27" t="str">
        <f aca="false">IF(A5="","",IF(AND(E5="Y",F5="Y",G5="Y",H5="Y",OR(I5="Y",I5="N/A"),J5="Pass",N(M5)&gt;=Lists!$U$16),"Yes","No"))</f>
        <v>No</v>
      </c>
      <c r="O5" s="20"/>
    </row>
    <row r="6" customFormat="false" ht="30" hidden="false" customHeight="true" outlineLevel="0" collapsed="false">
      <c r="A6" s="20" t="s">
        <v>300</v>
      </c>
      <c r="B6" s="20" t="s">
        <v>301</v>
      </c>
      <c r="C6" s="20" t="s">
        <v>290</v>
      </c>
      <c r="D6" s="20"/>
      <c r="E6" s="20"/>
      <c r="F6" s="20"/>
      <c r="G6" s="20"/>
      <c r="H6" s="20"/>
      <c r="I6" s="20"/>
      <c r="J6" s="20"/>
      <c r="K6" s="20"/>
      <c r="L6" s="20"/>
      <c r="M6" s="29" t="str">
        <f aca="false">IF(OR(K6="",K6=0),"",L6/K6)</f>
        <v/>
      </c>
      <c r="N6" s="27" t="str">
        <f aca="false">IF(A6="","",IF(AND(E6="Y",F6="Y",G6="Y",H6="Y",OR(I6="Y",I6="N/A"),J6="Pass",N(M6)&gt;=Lists!$U$16),"Yes","No"))</f>
        <v>No</v>
      </c>
      <c r="O6" s="20"/>
    </row>
    <row r="7" customFormat="false" ht="30" hidden="false" customHeight="true" outlineLevel="0" collapsed="false">
      <c r="A7" s="20" t="s">
        <v>302</v>
      </c>
      <c r="B7" s="20" t="s">
        <v>303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9" t="str">
        <f aca="false">IF(OR(K7="",K7=0),"",L7/K7)</f>
        <v/>
      </c>
      <c r="N7" s="27" t="str">
        <f aca="false">IF(A7="","",IF(AND(E7="Y",F7="Y",G7="Y",H7="Y",OR(I7="Y",I7="N/A"),J7="Pass",N(M7)&gt;=Lists!$U$16),"Yes","No"))</f>
        <v>No</v>
      </c>
      <c r="O7" s="20"/>
    </row>
    <row r="8" customFormat="false" ht="30" hidden="false" customHeight="true" outlineLevel="0" collapsed="false">
      <c r="A8" s="20" t="s">
        <v>304</v>
      </c>
      <c r="B8" s="20" t="s">
        <v>301</v>
      </c>
      <c r="C8" s="20" t="s">
        <v>290</v>
      </c>
      <c r="D8" s="20"/>
      <c r="E8" s="20"/>
      <c r="F8" s="20"/>
      <c r="G8" s="20"/>
      <c r="H8" s="20"/>
      <c r="I8" s="20"/>
      <c r="J8" s="20"/>
      <c r="K8" s="20"/>
      <c r="L8" s="20"/>
      <c r="M8" s="29" t="str">
        <f aca="false">IF(OR(K8="",K8=0),"",L8/K8)</f>
        <v/>
      </c>
      <c r="N8" s="27" t="str">
        <f aca="false">IF(A8="","",IF(AND(E8="Y",F8="Y",G8="Y",H8="Y",OR(I8="Y",I8="N/A"),J8="Pass",N(M8)&gt;=Lists!$U$16),"Yes","No"))</f>
        <v>No</v>
      </c>
      <c r="O8" s="20"/>
    </row>
    <row r="9" customFormat="false" ht="30" hidden="false" customHeight="true" outlineLevel="0" collapsed="false">
      <c r="A9" s="20" t="s">
        <v>305</v>
      </c>
      <c r="B9" s="20" t="s">
        <v>306</v>
      </c>
      <c r="C9" s="20" t="s">
        <v>307</v>
      </c>
      <c r="D9" s="20"/>
      <c r="E9" s="20"/>
      <c r="F9" s="20"/>
      <c r="G9" s="20"/>
      <c r="H9" s="20"/>
      <c r="I9" s="20"/>
      <c r="J9" s="20"/>
      <c r="K9" s="20"/>
      <c r="L9" s="20"/>
      <c r="M9" s="29" t="str">
        <f aca="false">IF(OR(K9="",K9=0),"",L9/K9)</f>
        <v/>
      </c>
      <c r="N9" s="27" t="str">
        <f aca="false">IF(A9="","",IF(AND(E9="Y",F9="Y",G9="Y",H9="Y",OR(I9="Y",I9="N/A"),J9="Pass",N(M9)&gt;=Lists!$U$16),"Yes","No"))</f>
        <v>No</v>
      </c>
      <c r="O9" s="20"/>
    </row>
    <row r="10" customFormat="false" ht="30" hidden="false" customHeight="true" outlineLevel="0" collapsed="false">
      <c r="A10" s="20" t="s">
        <v>308</v>
      </c>
      <c r="B10" s="20" t="s">
        <v>309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9" t="str">
        <f aca="false">IF(OR(K10="",K10=0),"",L10/K10)</f>
        <v/>
      </c>
      <c r="N10" s="27" t="str">
        <f aca="false">IF(A10="","",IF(AND(E10="Y",F10="Y",G10="Y",H10="Y",OR(I10="Y",I10="N/A"),J10="Pass",N(M10)&gt;=Lists!$U$16),"Yes","No"))</f>
        <v>No</v>
      </c>
      <c r="O10" s="20" t="s">
        <v>310</v>
      </c>
    </row>
    <row r="11" customFormat="false" ht="30" hidden="false" customHeight="true" outlineLevel="0" collapsed="false">
      <c r="A11" s="20" t="s">
        <v>311</v>
      </c>
      <c r="B11" s="20" t="s">
        <v>298</v>
      </c>
      <c r="C11" s="20" t="s">
        <v>299</v>
      </c>
      <c r="D11" s="20"/>
      <c r="E11" s="20"/>
      <c r="F11" s="20"/>
      <c r="G11" s="20"/>
      <c r="H11" s="20"/>
      <c r="I11" s="20"/>
      <c r="J11" s="20"/>
      <c r="K11" s="20"/>
      <c r="L11" s="20"/>
      <c r="M11" s="29" t="str">
        <f aca="false">IF(OR(K11="",K11=0),"",L11/K11)</f>
        <v/>
      </c>
      <c r="N11" s="27" t="str">
        <f aca="false">IF(A11="","",IF(AND(E11="Y",F11="Y",G11="Y",H11="Y",OR(I11="Y",I11="N/A"),J11="Pass",N(M11)&gt;=Lists!$U$16),"Yes","No"))</f>
        <v>No</v>
      </c>
      <c r="O11" s="20"/>
    </row>
    <row r="12" customFormat="false" ht="15" hidden="false" customHeight="false" outlineLevel="0" collapsed="false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9" t="str">
        <f aca="false">IF(OR(K12="",K12=0),"",L12/K12)</f>
        <v/>
      </c>
      <c r="N12" s="27" t="str">
        <f aca="false">IF(A12="","",IF(AND(E12="Y",F12="Y",G12="Y",H12="Y",OR(I12="Y",I12="N/A"),J12="Pass",N(M12)&gt;=Lists!$U$16),"Yes","No"))</f>
        <v/>
      </c>
      <c r="O12" s="20"/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9" t="str">
        <f aca="false">IF(OR(K13="",K13=0),"",L13/K13)</f>
        <v/>
      </c>
      <c r="N13" s="27" t="str">
        <f aca="false">IF(A13="","",IF(AND(E13="Y",F13="Y",G13="Y",H13="Y",OR(I13="Y",I13="N/A"),J13="Pass",N(M13)&gt;=Lists!$U$16),"Yes","No"))</f>
        <v/>
      </c>
      <c r="O13" s="20"/>
    </row>
    <row r="14" customFormat="false" ht="15" hidden="false" customHeight="false" outlineLevel="0" collapsed="false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9" t="str">
        <f aca="false">IF(OR(K14="",K14=0),"",L14/K14)</f>
        <v/>
      </c>
      <c r="N14" s="27" t="str">
        <f aca="false">IF(A14="","",IF(AND(E14="Y",F14="Y",G14="Y",H14="Y",OR(I14="Y",I14="N/A"),J14="Pass",N(M14)&gt;=Lists!$U$16),"Yes","No"))</f>
        <v/>
      </c>
      <c r="O14" s="20"/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9" t="str">
        <f aca="false">IF(OR(K15="",K15=0),"",L15/K15)</f>
        <v/>
      </c>
      <c r="N15" s="27" t="str">
        <f aca="false">IF(A15="","",IF(AND(E15="Y",F15="Y",G15="Y",H15="Y",OR(I15="Y",I15="N/A"),J15="Pass",N(M15)&gt;=Lists!$U$16),"Yes","No"))</f>
        <v/>
      </c>
      <c r="O15" s="20"/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9" t="str">
        <f aca="false">IF(OR(K16="",K16=0),"",L16/K16)</f>
        <v/>
      </c>
      <c r="N16" s="27" t="str">
        <f aca="false">IF(A16="","",IF(AND(E16="Y",F16="Y",G16="Y",H16="Y",OR(I16="Y",I16="N/A"),J16="Pass",N(M16)&gt;=Lists!$U$16),"Yes","No"))</f>
        <v/>
      </c>
      <c r="O16" s="20"/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9" t="str">
        <f aca="false">IF(OR(K17="",K17=0),"",L17/K17)</f>
        <v/>
      </c>
      <c r="N17" s="27" t="str">
        <f aca="false">IF(A17="","",IF(AND(E17="Y",F17="Y",G17="Y",H17="Y",OR(I17="Y",I17="N/A"),J17="Pass",N(M17)&gt;=Lists!$U$16),"Yes","No"))</f>
        <v/>
      </c>
      <c r="O17" s="20"/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9" t="str">
        <f aca="false">IF(OR(K18="",K18=0),"",L18/K18)</f>
        <v/>
      </c>
      <c r="N18" s="27" t="str">
        <f aca="false">IF(A18="","",IF(AND(E18="Y",F18="Y",G18="Y",H18="Y",OR(I18="Y",I18="N/A"),J18="Pass",N(M18)&gt;=Lists!$U$16),"Yes","No"))</f>
        <v/>
      </c>
      <c r="O18" s="20"/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9" t="str">
        <f aca="false">IF(OR(K19="",K19=0),"",L19/K19)</f>
        <v/>
      </c>
      <c r="N19" s="27" t="str">
        <f aca="false">IF(A19="","",IF(AND(E19="Y",F19="Y",G19="Y",H19="Y",OR(I19="Y",I19="N/A"),J19="Pass",N(M19)&gt;=Lists!$U$16),"Yes","No"))</f>
        <v/>
      </c>
      <c r="O19" s="20"/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9" t="str">
        <f aca="false">IF(OR(K20="",K20=0),"",L20/K20)</f>
        <v/>
      </c>
      <c r="N20" s="27" t="str">
        <f aca="false">IF(A20="","",IF(AND(E20="Y",F20="Y",G20="Y",H20="Y",OR(I20="Y",I20="N/A"),J20="Pass",N(M20)&gt;=Lists!$U$16),"Yes","No"))</f>
        <v/>
      </c>
      <c r="O20" s="20"/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9" t="str">
        <f aca="false">IF(OR(K21="",K21=0),"",L21/K21)</f>
        <v/>
      </c>
      <c r="N21" s="27" t="str">
        <f aca="false">IF(A21="","",IF(AND(E21="Y",F21="Y",G21="Y",H21="Y",OR(I21="Y",I21="N/A"),J21="Pass",N(M21)&gt;=Lists!$U$16),"Yes","No"))</f>
        <v/>
      </c>
      <c r="O21" s="20"/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9" t="str">
        <f aca="false">IF(OR(K22="",K22=0),"",L22/K22)</f>
        <v/>
      </c>
      <c r="N22" s="27" t="str">
        <f aca="false">IF(A22="","",IF(AND(E22="Y",F22="Y",G22="Y",H22="Y",OR(I22="Y",I22="N/A"),J22="Pass",N(M22)&gt;=Lists!$U$16),"Yes","No"))</f>
        <v/>
      </c>
      <c r="O22" s="20"/>
    </row>
    <row r="24" customFormat="false" ht="43.5" hidden="false" customHeight="true" outlineLevel="0" collapsed="false">
      <c r="A24" s="30" t="s">
        <v>312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</row>
  </sheetData>
  <mergeCells count="1">
    <mergeCell ref="A24:O24"/>
  </mergeCells>
  <conditionalFormatting sqref="N2:N22">
    <cfRule type="cellIs" priority="2" operator="equal" aboveAverage="0" equalAverage="0" bottom="0" percent="0" rank="0" text="" dxfId="10">
      <formula>"Yes"</formula>
    </cfRule>
    <cfRule type="cellIs" priority="3" operator="equal" aboveAverage="0" equalAverage="0" bottom="0" percent="0" rank="0" text="" dxfId="9">
      <formula>"No"</formula>
    </cfRule>
  </conditionalFormatting>
  <dataValidations count="3">
    <dataValidation allowBlank="true" error="Choose a value from the list (see the Lists sheet)." errorStyle="stop" errorTitle="Not in list" operator="between" showDropDown="false" showErrorMessage="false" showInputMessage="false" sqref="E2:H22" type="list">
      <formula1>Lists!$F$2:$F$3</formula1>
      <formula2>0</formula2>
    </dataValidation>
    <dataValidation allowBlank="true" error="Choose a value from the list (see the Lists sheet)." errorStyle="stop" errorTitle="Not in list" operator="between" showDropDown="false" showErrorMessage="false" showInputMessage="false" sqref="I2:I22" type="list">
      <formula1>Lists!$G$2:$G$4</formula1>
      <formula2>0</formula2>
    </dataValidation>
    <dataValidation allowBlank="true" error="Choose a value from the list (see the Lists sheet)." errorStyle="stop" errorTitle="Not in list" operator="between" showDropDown="false" showErrorMessage="false" showInputMessage="false" sqref="J2:J22" type="list">
      <formula1>Lists!$H$2:$H$6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7293"/>
    <pageSetUpPr fitToPage="true"/>
  </sheetPr>
  <dimension ref="A1:P3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8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1" min="11" style="0" width="18"/>
    <col collapsed="false" customWidth="true" hidden="false" outlineLevel="0" max="12" min="12" style="0" width="26"/>
    <col collapsed="false" customWidth="true" hidden="false" outlineLevel="0" max="14" min="13" style="0" width="11"/>
    <col collapsed="false" customWidth="true" hidden="false" outlineLevel="0" max="15" min="15" style="0" width="12"/>
    <col collapsed="false" customWidth="true" hidden="false" outlineLevel="0" max="16" min="16" style="0" width="30"/>
  </cols>
  <sheetData>
    <row r="1" customFormat="false" ht="42" hidden="false" customHeight="true" outlineLevel="0" collapsed="false">
      <c r="A1" s="16" t="s">
        <v>76</v>
      </c>
      <c r="B1" s="16" t="s">
        <v>313</v>
      </c>
      <c r="C1" s="16" t="s">
        <v>314</v>
      </c>
      <c r="D1" s="16" t="s">
        <v>315</v>
      </c>
      <c r="E1" s="16" t="s">
        <v>277</v>
      </c>
      <c r="F1" s="16" t="s">
        <v>316</v>
      </c>
      <c r="G1" s="16" t="s">
        <v>317</v>
      </c>
      <c r="H1" s="16" t="s">
        <v>318</v>
      </c>
      <c r="I1" s="24" t="s">
        <v>46</v>
      </c>
      <c r="J1" s="16" t="s">
        <v>319</v>
      </c>
      <c r="K1" s="16" t="s">
        <v>320</v>
      </c>
      <c r="L1" s="16" t="s">
        <v>321</v>
      </c>
      <c r="M1" s="16" t="s">
        <v>322</v>
      </c>
      <c r="N1" s="16" t="s">
        <v>323</v>
      </c>
      <c r="O1" s="16" t="s">
        <v>84</v>
      </c>
      <c r="P1" s="16" t="s">
        <v>324</v>
      </c>
    </row>
    <row r="2" customFormat="false" ht="23.85" hidden="false" customHeight="false" outlineLevel="0" collapsed="false">
      <c r="A2" s="25" t="s">
        <v>325</v>
      </c>
      <c r="B2" s="25" t="s">
        <v>326</v>
      </c>
      <c r="C2" s="25" t="s">
        <v>327</v>
      </c>
      <c r="D2" s="25" t="s">
        <v>328</v>
      </c>
      <c r="E2" s="25" t="s">
        <v>329</v>
      </c>
      <c r="F2" s="25" t="s">
        <v>330</v>
      </c>
      <c r="G2" s="25" t="s">
        <v>241</v>
      </c>
      <c r="H2" s="25" t="s">
        <v>331</v>
      </c>
      <c r="I2" s="25" t="str">
        <f aca="false">IF(OR(G2="",H2=""),"",IFERROR(INDEX(Lists!$U$3:$Y$5,MATCH(G2,Lists!$T$3:$T$5,0),MATCH(H2,Lists!$U$2:$Y$2,0)),"Check inputs"))</f>
        <v>P2</v>
      </c>
      <c r="J2" s="25" t="s">
        <v>332</v>
      </c>
      <c r="K2" s="25" t="s">
        <v>333</v>
      </c>
      <c r="L2" s="25" t="s">
        <v>334</v>
      </c>
      <c r="M2" s="25" t="s">
        <v>335</v>
      </c>
      <c r="N2" s="26" t="n">
        <v>46346</v>
      </c>
      <c r="O2" s="25" t="s">
        <v>273</v>
      </c>
      <c r="P2" s="25" t="s">
        <v>336</v>
      </c>
    </row>
    <row r="3" customFormat="false" ht="15" hidden="false" customHeight="false" outlineLevel="0" collapsed="false">
      <c r="A3" s="20"/>
      <c r="B3" s="20"/>
      <c r="C3" s="20"/>
      <c r="D3" s="20"/>
      <c r="E3" s="20"/>
      <c r="F3" s="20"/>
      <c r="G3" s="20"/>
      <c r="H3" s="20"/>
      <c r="I3" s="27" t="str">
        <f aca="false">IF(OR(G3="",H3=""),"",IFERROR(INDEX(Lists!$U$3:$Y$5,MATCH(G3,Lists!$T$3:$T$5,0),MATCH(H3,Lists!$U$2:$Y$2,0)),"Check inputs"))</f>
        <v/>
      </c>
      <c r="J3" s="20"/>
      <c r="K3" s="20"/>
      <c r="L3" s="20"/>
      <c r="M3" s="20"/>
      <c r="N3" s="21"/>
      <c r="O3" s="20"/>
      <c r="P3" s="20"/>
    </row>
    <row r="4" customFormat="false" ht="15" hidden="false" customHeight="false" outlineLevel="0" collapsed="false">
      <c r="A4" s="20"/>
      <c r="B4" s="20"/>
      <c r="C4" s="20"/>
      <c r="D4" s="20"/>
      <c r="E4" s="20"/>
      <c r="F4" s="20"/>
      <c r="G4" s="20"/>
      <c r="H4" s="20"/>
      <c r="I4" s="27" t="str">
        <f aca="false">IF(OR(G4="",H4=""),"",IFERROR(INDEX(Lists!$U$3:$Y$5,MATCH(G4,Lists!$T$3:$T$5,0),MATCH(H4,Lists!$U$2:$Y$2,0)),"Check inputs"))</f>
        <v/>
      </c>
      <c r="J4" s="20"/>
      <c r="K4" s="20"/>
      <c r="L4" s="20"/>
      <c r="M4" s="20"/>
      <c r="N4" s="21"/>
      <c r="O4" s="20"/>
      <c r="P4" s="20"/>
    </row>
    <row r="5" customFormat="false" ht="15" hidden="false" customHeight="false" outlineLevel="0" collapsed="false">
      <c r="A5" s="20"/>
      <c r="B5" s="20"/>
      <c r="C5" s="20"/>
      <c r="D5" s="20"/>
      <c r="E5" s="20"/>
      <c r="F5" s="20"/>
      <c r="G5" s="20"/>
      <c r="H5" s="20"/>
      <c r="I5" s="27" t="str">
        <f aca="false">IF(OR(G5="",H5=""),"",IFERROR(INDEX(Lists!$U$3:$Y$5,MATCH(G5,Lists!$T$3:$T$5,0),MATCH(H5,Lists!$U$2:$Y$2,0)),"Check inputs"))</f>
        <v/>
      </c>
      <c r="J5" s="20"/>
      <c r="K5" s="20"/>
      <c r="L5" s="20"/>
      <c r="M5" s="20"/>
      <c r="N5" s="21"/>
      <c r="O5" s="20"/>
      <c r="P5" s="20"/>
    </row>
    <row r="6" customFormat="false" ht="15" hidden="false" customHeight="false" outlineLevel="0" collapsed="false">
      <c r="A6" s="20"/>
      <c r="B6" s="20"/>
      <c r="C6" s="20"/>
      <c r="D6" s="20"/>
      <c r="E6" s="20"/>
      <c r="F6" s="20"/>
      <c r="G6" s="20"/>
      <c r="H6" s="20"/>
      <c r="I6" s="27" t="str">
        <f aca="false">IF(OR(G6="",H6=""),"",IFERROR(INDEX(Lists!$U$3:$Y$5,MATCH(G6,Lists!$T$3:$T$5,0),MATCH(H6,Lists!$U$2:$Y$2,0)),"Check inputs"))</f>
        <v/>
      </c>
      <c r="J6" s="20"/>
      <c r="K6" s="20"/>
      <c r="L6" s="20"/>
      <c r="M6" s="20"/>
      <c r="N6" s="21"/>
      <c r="O6" s="20"/>
      <c r="P6" s="20"/>
    </row>
    <row r="7" customFormat="false" ht="15" hidden="false" customHeight="false" outlineLevel="0" collapsed="false">
      <c r="A7" s="20"/>
      <c r="B7" s="20"/>
      <c r="C7" s="20"/>
      <c r="D7" s="20"/>
      <c r="E7" s="20"/>
      <c r="F7" s="20"/>
      <c r="G7" s="20"/>
      <c r="H7" s="20"/>
      <c r="I7" s="27" t="str">
        <f aca="false">IF(OR(G7="",H7=""),"",IFERROR(INDEX(Lists!$U$3:$Y$5,MATCH(G7,Lists!$T$3:$T$5,0),MATCH(H7,Lists!$U$2:$Y$2,0)),"Check inputs"))</f>
        <v/>
      </c>
      <c r="J7" s="20"/>
      <c r="K7" s="20"/>
      <c r="L7" s="20"/>
      <c r="M7" s="20"/>
      <c r="N7" s="21"/>
      <c r="O7" s="20"/>
      <c r="P7" s="20"/>
    </row>
    <row r="8" customFormat="false" ht="15" hidden="false" customHeight="false" outlineLevel="0" collapsed="false">
      <c r="A8" s="20"/>
      <c r="B8" s="20"/>
      <c r="C8" s="20"/>
      <c r="D8" s="20"/>
      <c r="E8" s="20"/>
      <c r="F8" s="20"/>
      <c r="G8" s="20"/>
      <c r="H8" s="20"/>
      <c r="I8" s="27" t="str">
        <f aca="false">IF(OR(G8="",H8=""),"",IFERROR(INDEX(Lists!$U$3:$Y$5,MATCH(G8,Lists!$T$3:$T$5,0),MATCH(H8,Lists!$U$2:$Y$2,0)),"Check inputs"))</f>
        <v/>
      </c>
      <c r="J8" s="20"/>
      <c r="K8" s="20"/>
      <c r="L8" s="20"/>
      <c r="M8" s="20"/>
      <c r="N8" s="21"/>
      <c r="O8" s="20"/>
      <c r="P8" s="20"/>
    </row>
    <row r="9" customFormat="false" ht="15" hidden="false" customHeight="false" outlineLevel="0" collapsed="false">
      <c r="A9" s="20"/>
      <c r="B9" s="20"/>
      <c r="C9" s="20"/>
      <c r="D9" s="20"/>
      <c r="E9" s="20"/>
      <c r="F9" s="20"/>
      <c r="G9" s="20"/>
      <c r="H9" s="20"/>
      <c r="I9" s="27" t="str">
        <f aca="false">IF(OR(G9="",H9=""),"",IFERROR(INDEX(Lists!$U$3:$Y$5,MATCH(G9,Lists!$T$3:$T$5,0),MATCH(H9,Lists!$U$2:$Y$2,0)),"Check inputs"))</f>
        <v/>
      </c>
      <c r="J9" s="20"/>
      <c r="K9" s="20"/>
      <c r="L9" s="20"/>
      <c r="M9" s="20"/>
      <c r="N9" s="21"/>
      <c r="O9" s="20"/>
      <c r="P9" s="20"/>
    </row>
    <row r="10" customFormat="false" ht="15" hidden="false" customHeight="false" outlineLevel="0" collapsed="false">
      <c r="A10" s="20"/>
      <c r="B10" s="20"/>
      <c r="C10" s="20"/>
      <c r="D10" s="20"/>
      <c r="E10" s="20"/>
      <c r="F10" s="20"/>
      <c r="G10" s="20"/>
      <c r="H10" s="20"/>
      <c r="I10" s="27" t="str">
        <f aca="false">IF(OR(G10="",H10=""),"",IFERROR(INDEX(Lists!$U$3:$Y$5,MATCH(G10,Lists!$T$3:$T$5,0),MATCH(H10,Lists!$U$2:$Y$2,0)),"Check inputs"))</f>
        <v/>
      </c>
      <c r="J10" s="20"/>
      <c r="K10" s="20"/>
      <c r="L10" s="20"/>
      <c r="M10" s="20"/>
      <c r="N10" s="21"/>
      <c r="O10" s="20"/>
      <c r="P10" s="20"/>
    </row>
    <row r="11" customFormat="false" ht="15" hidden="false" customHeight="false" outlineLevel="0" collapsed="false">
      <c r="A11" s="20"/>
      <c r="B11" s="20"/>
      <c r="C11" s="20"/>
      <c r="D11" s="20"/>
      <c r="E11" s="20"/>
      <c r="F11" s="20"/>
      <c r="G11" s="20"/>
      <c r="H11" s="20"/>
      <c r="I11" s="27" t="str">
        <f aca="false">IF(OR(G11="",H11=""),"",IFERROR(INDEX(Lists!$U$3:$Y$5,MATCH(G11,Lists!$T$3:$T$5,0),MATCH(H11,Lists!$U$2:$Y$2,0)),"Check inputs"))</f>
        <v/>
      </c>
      <c r="J11" s="20"/>
      <c r="K11" s="20"/>
      <c r="L11" s="20"/>
      <c r="M11" s="20"/>
      <c r="N11" s="21"/>
      <c r="O11" s="20"/>
      <c r="P11" s="20"/>
    </row>
    <row r="12" customFormat="false" ht="15" hidden="false" customHeight="false" outlineLevel="0" collapsed="false">
      <c r="A12" s="20"/>
      <c r="B12" s="20"/>
      <c r="C12" s="20"/>
      <c r="D12" s="20"/>
      <c r="E12" s="20"/>
      <c r="F12" s="20"/>
      <c r="G12" s="20"/>
      <c r="H12" s="20"/>
      <c r="I12" s="27" t="str">
        <f aca="false">IF(OR(G12="",H12=""),"",IFERROR(INDEX(Lists!$U$3:$Y$5,MATCH(G12,Lists!$T$3:$T$5,0),MATCH(H12,Lists!$U$2:$Y$2,0)),"Check inputs"))</f>
        <v/>
      </c>
      <c r="J12" s="20"/>
      <c r="K12" s="20"/>
      <c r="L12" s="20"/>
      <c r="M12" s="20"/>
      <c r="N12" s="21"/>
      <c r="O12" s="20"/>
      <c r="P12" s="20"/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0"/>
      <c r="G13" s="20"/>
      <c r="H13" s="20"/>
      <c r="I13" s="27" t="str">
        <f aca="false">IF(OR(G13="",H13=""),"",IFERROR(INDEX(Lists!$U$3:$Y$5,MATCH(G13,Lists!$T$3:$T$5,0),MATCH(H13,Lists!$U$2:$Y$2,0)),"Check inputs"))</f>
        <v/>
      </c>
      <c r="J13" s="20"/>
      <c r="K13" s="20"/>
      <c r="L13" s="20"/>
      <c r="M13" s="20"/>
      <c r="N13" s="21"/>
      <c r="O13" s="20"/>
      <c r="P13" s="20"/>
    </row>
    <row r="14" customFormat="false" ht="15" hidden="false" customHeight="false" outlineLevel="0" collapsed="false">
      <c r="A14" s="20"/>
      <c r="B14" s="20"/>
      <c r="C14" s="20"/>
      <c r="D14" s="20"/>
      <c r="E14" s="20"/>
      <c r="F14" s="20"/>
      <c r="G14" s="20"/>
      <c r="H14" s="20"/>
      <c r="I14" s="27" t="str">
        <f aca="false">IF(OR(G14="",H14=""),"",IFERROR(INDEX(Lists!$U$3:$Y$5,MATCH(G14,Lists!$T$3:$T$5,0),MATCH(H14,Lists!$U$2:$Y$2,0)),"Check inputs"))</f>
        <v/>
      </c>
      <c r="J14" s="20"/>
      <c r="K14" s="20"/>
      <c r="L14" s="20"/>
      <c r="M14" s="20"/>
      <c r="N14" s="21"/>
      <c r="O14" s="20"/>
      <c r="P14" s="20"/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0"/>
      <c r="G15" s="20"/>
      <c r="H15" s="20"/>
      <c r="I15" s="27" t="str">
        <f aca="false">IF(OR(G15="",H15=""),"",IFERROR(INDEX(Lists!$U$3:$Y$5,MATCH(G15,Lists!$T$3:$T$5,0),MATCH(H15,Lists!$U$2:$Y$2,0)),"Check inputs"))</f>
        <v/>
      </c>
      <c r="J15" s="20"/>
      <c r="K15" s="20"/>
      <c r="L15" s="20"/>
      <c r="M15" s="20"/>
      <c r="N15" s="21"/>
      <c r="O15" s="20"/>
      <c r="P15" s="20"/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0"/>
      <c r="G16" s="20"/>
      <c r="H16" s="20"/>
      <c r="I16" s="27" t="str">
        <f aca="false">IF(OR(G16="",H16=""),"",IFERROR(INDEX(Lists!$U$3:$Y$5,MATCH(G16,Lists!$T$3:$T$5,0),MATCH(H16,Lists!$U$2:$Y$2,0)),"Check inputs"))</f>
        <v/>
      </c>
      <c r="J16" s="20"/>
      <c r="K16" s="20"/>
      <c r="L16" s="20"/>
      <c r="M16" s="20"/>
      <c r="N16" s="21"/>
      <c r="O16" s="20"/>
      <c r="P16" s="20"/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  <c r="H17" s="20"/>
      <c r="I17" s="27" t="str">
        <f aca="false">IF(OR(G17="",H17=""),"",IFERROR(INDEX(Lists!$U$3:$Y$5,MATCH(G17,Lists!$T$3:$T$5,0),MATCH(H17,Lists!$U$2:$Y$2,0)),"Check inputs"))</f>
        <v/>
      </c>
      <c r="J17" s="20"/>
      <c r="K17" s="20"/>
      <c r="L17" s="20"/>
      <c r="M17" s="20"/>
      <c r="N17" s="21"/>
      <c r="O17" s="20"/>
      <c r="P17" s="20"/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0"/>
      <c r="G18" s="20"/>
      <c r="H18" s="20"/>
      <c r="I18" s="27" t="str">
        <f aca="false">IF(OR(G18="",H18=""),"",IFERROR(INDEX(Lists!$U$3:$Y$5,MATCH(G18,Lists!$T$3:$T$5,0),MATCH(H18,Lists!$U$2:$Y$2,0)),"Check inputs"))</f>
        <v/>
      </c>
      <c r="J18" s="20"/>
      <c r="K18" s="20"/>
      <c r="L18" s="20"/>
      <c r="M18" s="20"/>
      <c r="N18" s="21"/>
      <c r="O18" s="20"/>
      <c r="P18" s="20"/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  <c r="I19" s="27" t="str">
        <f aca="false">IF(OR(G19="",H19=""),"",IFERROR(INDEX(Lists!$U$3:$Y$5,MATCH(G19,Lists!$T$3:$T$5,0),MATCH(H19,Lists!$U$2:$Y$2,0)),"Check inputs"))</f>
        <v/>
      </c>
      <c r="J19" s="20"/>
      <c r="K19" s="20"/>
      <c r="L19" s="20"/>
      <c r="M19" s="20"/>
      <c r="N19" s="21"/>
      <c r="O19" s="20"/>
      <c r="P19" s="20"/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  <c r="G20" s="20"/>
      <c r="H20" s="20"/>
      <c r="I20" s="27" t="str">
        <f aca="false">IF(OR(G20="",H20=""),"",IFERROR(INDEX(Lists!$U$3:$Y$5,MATCH(G20,Lists!$T$3:$T$5,0),MATCH(H20,Lists!$U$2:$Y$2,0)),"Check inputs"))</f>
        <v/>
      </c>
      <c r="J20" s="20"/>
      <c r="K20" s="20"/>
      <c r="L20" s="20"/>
      <c r="M20" s="20"/>
      <c r="N20" s="21"/>
      <c r="O20" s="20"/>
      <c r="P20" s="20"/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  <c r="H21" s="20"/>
      <c r="I21" s="27" t="str">
        <f aca="false">IF(OR(G21="",H21=""),"",IFERROR(INDEX(Lists!$U$3:$Y$5,MATCH(G21,Lists!$T$3:$T$5,0),MATCH(H21,Lists!$U$2:$Y$2,0)),"Check inputs"))</f>
        <v/>
      </c>
      <c r="J21" s="20"/>
      <c r="K21" s="20"/>
      <c r="L21" s="20"/>
      <c r="M21" s="20"/>
      <c r="N21" s="21"/>
      <c r="O21" s="20"/>
      <c r="P21" s="20"/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0"/>
      <c r="G22" s="20"/>
      <c r="H22" s="20"/>
      <c r="I22" s="27" t="str">
        <f aca="false">IF(OR(G22="",H22=""),"",IFERROR(INDEX(Lists!$U$3:$Y$5,MATCH(G22,Lists!$T$3:$T$5,0),MATCH(H22,Lists!$U$2:$Y$2,0)),"Check inputs"))</f>
        <v/>
      </c>
      <c r="J22" s="20"/>
      <c r="K22" s="20"/>
      <c r="L22" s="20"/>
      <c r="M22" s="20"/>
      <c r="N22" s="21"/>
      <c r="O22" s="20"/>
      <c r="P22" s="20"/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  <c r="G23" s="20"/>
      <c r="H23" s="20"/>
      <c r="I23" s="27" t="str">
        <f aca="false">IF(OR(G23="",H23=""),"",IFERROR(INDEX(Lists!$U$3:$Y$5,MATCH(G23,Lists!$T$3:$T$5,0),MATCH(H23,Lists!$U$2:$Y$2,0)),"Check inputs"))</f>
        <v/>
      </c>
      <c r="J23" s="20"/>
      <c r="K23" s="20"/>
      <c r="L23" s="20"/>
      <c r="M23" s="20"/>
      <c r="N23" s="21"/>
      <c r="O23" s="20"/>
      <c r="P23" s="20"/>
    </row>
    <row r="24" customFormat="false" ht="15" hidden="false" customHeight="false" outlineLevel="0" collapsed="false">
      <c r="A24" s="20"/>
      <c r="B24" s="20"/>
      <c r="C24" s="20"/>
      <c r="D24" s="20"/>
      <c r="E24" s="20"/>
      <c r="F24" s="20"/>
      <c r="G24" s="20"/>
      <c r="H24" s="20"/>
      <c r="I24" s="27" t="str">
        <f aca="false">IF(OR(G24="",H24=""),"",IFERROR(INDEX(Lists!$U$3:$Y$5,MATCH(G24,Lists!$T$3:$T$5,0),MATCH(H24,Lists!$U$2:$Y$2,0)),"Check inputs"))</f>
        <v/>
      </c>
      <c r="J24" s="20"/>
      <c r="K24" s="20"/>
      <c r="L24" s="20"/>
      <c r="M24" s="20"/>
      <c r="N24" s="21"/>
      <c r="O24" s="20"/>
      <c r="P24" s="20"/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0"/>
      <c r="G25" s="20"/>
      <c r="H25" s="20"/>
      <c r="I25" s="27" t="str">
        <f aca="false">IF(OR(G25="",H25=""),"",IFERROR(INDEX(Lists!$U$3:$Y$5,MATCH(G25,Lists!$T$3:$T$5,0),MATCH(H25,Lists!$U$2:$Y$2,0)),"Check inputs"))</f>
        <v/>
      </c>
      <c r="J25" s="20"/>
      <c r="K25" s="20"/>
      <c r="L25" s="20"/>
      <c r="M25" s="20"/>
      <c r="N25" s="21"/>
      <c r="O25" s="20"/>
      <c r="P25" s="20"/>
    </row>
    <row r="26" customFormat="false" ht="15" hidden="false" customHeight="false" outlineLevel="0" collapsed="false">
      <c r="A26" s="20"/>
      <c r="B26" s="20"/>
      <c r="C26" s="20"/>
      <c r="D26" s="20"/>
      <c r="E26" s="20"/>
      <c r="F26" s="20"/>
      <c r="G26" s="20"/>
      <c r="H26" s="20"/>
      <c r="I26" s="27" t="str">
        <f aca="false">IF(OR(G26="",H26=""),"",IFERROR(INDEX(Lists!$U$3:$Y$5,MATCH(G26,Lists!$T$3:$T$5,0),MATCH(H26,Lists!$U$2:$Y$2,0)),"Check inputs"))</f>
        <v/>
      </c>
      <c r="J26" s="20"/>
      <c r="K26" s="20"/>
      <c r="L26" s="20"/>
      <c r="M26" s="20"/>
      <c r="N26" s="21"/>
      <c r="O26" s="20"/>
      <c r="P26" s="20"/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0"/>
      <c r="G27" s="20"/>
      <c r="H27" s="20"/>
      <c r="I27" s="27" t="str">
        <f aca="false">IF(OR(G27="",H27=""),"",IFERROR(INDEX(Lists!$U$3:$Y$5,MATCH(G27,Lists!$T$3:$T$5,0),MATCH(H27,Lists!$U$2:$Y$2,0)),"Check inputs"))</f>
        <v/>
      </c>
      <c r="J27" s="20"/>
      <c r="K27" s="20"/>
      <c r="L27" s="20"/>
      <c r="M27" s="20"/>
      <c r="N27" s="21"/>
      <c r="O27" s="20"/>
      <c r="P27" s="20"/>
    </row>
    <row r="28" customFormat="false" ht="15" hidden="false" customHeight="false" outlineLevel="0" collapsed="false">
      <c r="A28" s="20"/>
      <c r="B28" s="20"/>
      <c r="C28" s="20"/>
      <c r="D28" s="20"/>
      <c r="E28" s="20"/>
      <c r="F28" s="20"/>
      <c r="G28" s="20"/>
      <c r="H28" s="20"/>
      <c r="I28" s="27" t="str">
        <f aca="false">IF(OR(G28="",H28=""),"",IFERROR(INDEX(Lists!$U$3:$Y$5,MATCH(G28,Lists!$T$3:$T$5,0),MATCH(H28,Lists!$U$2:$Y$2,0)),"Check inputs"))</f>
        <v/>
      </c>
      <c r="J28" s="20"/>
      <c r="K28" s="20"/>
      <c r="L28" s="20"/>
      <c r="M28" s="20"/>
      <c r="N28" s="21"/>
      <c r="O28" s="20"/>
      <c r="P28" s="20"/>
    </row>
    <row r="29" customFormat="false" ht="15" hidden="false" customHeight="false" outlineLevel="0" collapsed="false">
      <c r="A29" s="20"/>
      <c r="B29" s="20"/>
      <c r="C29" s="20"/>
      <c r="D29" s="20"/>
      <c r="E29" s="20"/>
      <c r="F29" s="20"/>
      <c r="G29" s="20"/>
      <c r="H29" s="20"/>
      <c r="I29" s="27" t="str">
        <f aca="false">IF(OR(G29="",H29=""),"",IFERROR(INDEX(Lists!$U$3:$Y$5,MATCH(G29,Lists!$T$3:$T$5,0),MATCH(H29,Lists!$U$2:$Y$2,0)),"Check inputs"))</f>
        <v/>
      </c>
      <c r="J29" s="20"/>
      <c r="K29" s="20"/>
      <c r="L29" s="20"/>
      <c r="M29" s="20"/>
      <c r="N29" s="21"/>
      <c r="O29" s="20"/>
      <c r="P29" s="20"/>
    </row>
    <row r="30" customFormat="false" ht="15" hidden="false" customHeight="false" outlineLevel="0" collapsed="false">
      <c r="A30" s="20"/>
      <c r="B30" s="20"/>
      <c r="C30" s="20"/>
      <c r="D30" s="20"/>
      <c r="E30" s="20"/>
      <c r="F30" s="20"/>
      <c r="G30" s="20"/>
      <c r="H30" s="20"/>
      <c r="I30" s="27" t="str">
        <f aca="false">IF(OR(G30="",H30=""),"",IFERROR(INDEX(Lists!$U$3:$Y$5,MATCH(G30,Lists!$T$3:$T$5,0),MATCH(H30,Lists!$U$2:$Y$2,0)),"Check inputs"))</f>
        <v/>
      </c>
      <c r="J30" s="20"/>
      <c r="K30" s="20"/>
      <c r="L30" s="20"/>
      <c r="M30" s="20"/>
      <c r="N30" s="21"/>
      <c r="O30" s="20"/>
      <c r="P30" s="20"/>
    </row>
    <row r="31" customFormat="false" ht="1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27" t="str">
        <f aca="false">IF(OR(G31="",H31=""),"",IFERROR(INDEX(Lists!$U$3:$Y$5,MATCH(G31,Lists!$T$3:$T$5,0),MATCH(H31,Lists!$U$2:$Y$2,0)),"Check inputs"))</f>
        <v/>
      </c>
      <c r="J31" s="20"/>
      <c r="K31" s="20"/>
      <c r="L31" s="20"/>
      <c r="M31" s="20"/>
      <c r="N31" s="21"/>
      <c r="O31" s="20"/>
      <c r="P31" s="20"/>
    </row>
    <row r="32" customFormat="false" ht="15" hidden="false" customHeight="false" outlineLevel="0" collapsed="false">
      <c r="A32" s="20"/>
      <c r="B32" s="20"/>
      <c r="C32" s="20"/>
      <c r="D32" s="20"/>
      <c r="E32" s="20"/>
      <c r="F32" s="20"/>
      <c r="G32" s="20"/>
      <c r="H32" s="20"/>
      <c r="I32" s="27" t="str">
        <f aca="false">IF(OR(G32="",H32=""),"",IFERROR(INDEX(Lists!$U$3:$Y$5,MATCH(G32,Lists!$T$3:$T$5,0),MATCH(H32,Lists!$U$2:$Y$2,0)),"Check inputs"))</f>
        <v/>
      </c>
      <c r="J32" s="20"/>
      <c r="K32" s="20"/>
      <c r="L32" s="20"/>
      <c r="M32" s="20"/>
      <c r="N32" s="21"/>
      <c r="O32" s="20"/>
      <c r="P32" s="20"/>
    </row>
    <row r="33" customFormat="false" ht="15" hidden="false" customHeight="false" outlineLevel="0" collapsed="false">
      <c r="A33" s="20"/>
      <c r="B33" s="20"/>
      <c r="C33" s="20"/>
      <c r="D33" s="20"/>
      <c r="E33" s="20"/>
      <c r="F33" s="20"/>
      <c r="G33" s="20"/>
      <c r="H33" s="20"/>
      <c r="I33" s="27" t="str">
        <f aca="false">IF(OR(G33="",H33=""),"",IFERROR(INDEX(Lists!$U$3:$Y$5,MATCH(G33,Lists!$T$3:$T$5,0),MATCH(H33,Lists!$U$2:$Y$2,0)),"Check inputs"))</f>
        <v/>
      </c>
      <c r="J33" s="20"/>
      <c r="K33" s="20"/>
      <c r="L33" s="20"/>
      <c r="M33" s="20"/>
      <c r="N33" s="21"/>
      <c r="O33" s="20"/>
      <c r="P33" s="20"/>
    </row>
    <row r="34" customFormat="false" ht="1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7" t="str">
        <f aca="false">IF(OR(G34="",H34=""),"",IFERROR(INDEX(Lists!$U$3:$Y$5,MATCH(G34,Lists!$T$3:$T$5,0),MATCH(H34,Lists!$U$2:$Y$2,0)),"Check inputs"))</f>
        <v/>
      </c>
      <c r="J34" s="20"/>
      <c r="K34" s="20"/>
      <c r="L34" s="20"/>
      <c r="M34" s="20"/>
      <c r="N34" s="21"/>
      <c r="O34" s="20"/>
      <c r="P34" s="20"/>
    </row>
    <row r="35" customFormat="false" ht="15" hidden="false" customHeight="false" outlineLevel="0" collapsed="false">
      <c r="A35" s="20"/>
      <c r="B35" s="20"/>
      <c r="C35" s="20"/>
      <c r="D35" s="20"/>
      <c r="E35" s="20"/>
      <c r="F35" s="20"/>
      <c r="G35" s="20"/>
      <c r="H35" s="20"/>
      <c r="I35" s="27" t="str">
        <f aca="false">IF(OR(G35="",H35=""),"",IFERROR(INDEX(Lists!$U$3:$Y$5,MATCH(G35,Lists!$T$3:$T$5,0),MATCH(H35,Lists!$U$2:$Y$2,0)),"Check inputs"))</f>
        <v/>
      </c>
      <c r="J35" s="20"/>
      <c r="K35" s="20"/>
      <c r="L35" s="20"/>
      <c r="M35" s="20"/>
      <c r="N35" s="21"/>
      <c r="O35" s="20"/>
      <c r="P35" s="20"/>
    </row>
    <row r="36" customFormat="false" ht="15" hidden="false" customHeight="false" outlineLevel="0" collapsed="false">
      <c r="A36" s="20"/>
      <c r="B36" s="20"/>
      <c r="C36" s="20"/>
      <c r="D36" s="20"/>
      <c r="E36" s="20"/>
      <c r="F36" s="20"/>
      <c r="G36" s="20"/>
      <c r="H36" s="20"/>
      <c r="I36" s="27" t="str">
        <f aca="false">IF(OR(G36="",H36=""),"",IFERROR(INDEX(Lists!$U$3:$Y$5,MATCH(G36,Lists!$T$3:$T$5,0),MATCH(H36,Lists!$U$2:$Y$2,0)),"Check inputs"))</f>
        <v/>
      </c>
      <c r="J36" s="20"/>
      <c r="K36" s="20"/>
      <c r="L36" s="20"/>
      <c r="M36" s="20"/>
      <c r="N36" s="21"/>
      <c r="O36" s="20"/>
      <c r="P36" s="20"/>
    </row>
    <row r="37" customFormat="false" ht="15" hidden="false" customHeight="false" outlineLevel="0" collapsed="false">
      <c r="A37" s="20"/>
      <c r="B37" s="20"/>
      <c r="C37" s="20"/>
      <c r="D37" s="20"/>
      <c r="E37" s="20"/>
      <c r="F37" s="20"/>
      <c r="G37" s="20"/>
      <c r="H37" s="20"/>
      <c r="I37" s="27" t="str">
        <f aca="false">IF(OR(G37="",H37=""),"",IFERROR(INDEX(Lists!$U$3:$Y$5,MATCH(G37,Lists!$T$3:$T$5,0),MATCH(H37,Lists!$U$2:$Y$2,0)),"Check inputs"))</f>
        <v/>
      </c>
      <c r="J37" s="20"/>
      <c r="K37" s="20"/>
      <c r="L37" s="20"/>
      <c r="M37" s="20"/>
      <c r="N37" s="21"/>
      <c r="O37" s="20"/>
      <c r="P37" s="20"/>
    </row>
    <row r="38" customFormat="false" ht="15" hidden="false" customHeight="false" outlineLevel="0" collapsed="false">
      <c r="A38" s="20"/>
      <c r="B38" s="20"/>
      <c r="C38" s="20"/>
      <c r="D38" s="20"/>
      <c r="E38" s="20"/>
      <c r="F38" s="20"/>
      <c r="G38" s="20"/>
      <c r="H38" s="20"/>
      <c r="I38" s="27" t="str">
        <f aca="false">IF(OR(G38="",H38=""),"",IFERROR(INDEX(Lists!$U$3:$Y$5,MATCH(G38,Lists!$T$3:$T$5,0),MATCH(H38,Lists!$U$2:$Y$2,0)),"Check inputs"))</f>
        <v/>
      </c>
      <c r="J38" s="20"/>
      <c r="K38" s="20"/>
      <c r="L38" s="20"/>
      <c r="M38" s="20"/>
      <c r="N38" s="21"/>
      <c r="O38" s="20"/>
      <c r="P38" s="20"/>
    </row>
    <row r="39" customFormat="false" ht="1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27" t="str">
        <f aca="false">IF(OR(G39="",H39=""),"",IFERROR(INDEX(Lists!$U$3:$Y$5,MATCH(G39,Lists!$T$3:$T$5,0),MATCH(H39,Lists!$U$2:$Y$2,0)),"Check inputs"))</f>
        <v/>
      </c>
      <c r="J39" s="20"/>
      <c r="K39" s="20"/>
      <c r="L39" s="20"/>
      <c r="M39" s="20"/>
      <c r="N39" s="21"/>
      <c r="O39" s="20"/>
      <c r="P39" s="20"/>
    </row>
    <row r="40" customFormat="false" ht="15" hidden="false" customHeight="false" outlineLevel="0" collapsed="false">
      <c r="A40" s="20"/>
      <c r="B40" s="20"/>
      <c r="C40" s="20"/>
      <c r="D40" s="20"/>
      <c r="E40" s="20"/>
      <c r="F40" s="20"/>
      <c r="G40" s="20"/>
      <c r="H40" s="20"/>
      <c r="I40" s="27" t="str">
        <f aca="false">IF(OR(G40="",H40=""),"",IFERROR(INDEX(Lists!$U$3:$Y$5,MATCH(G40,Lists!$T$3:$T$5,0),MATCH(H40,Lists!$U$2:$Y$2,0)),"Check inputs"))</f>
        <v/>
      </c>
      <c r="J40" s="20"/>
      <c r="K40" s="20"/>
      <c r="L40" s="20"/>
      <c r="M40" s="20"/>
      <c r="N40" s="21"/>
      <c r="O40" s="20"/>
      <c r="P40" s="20"/>
    </row>
    <row r="41" customFormat="false" ht="15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27" t="str">
        <f aca="false">IF(OR(G41="",H41=""),"",IFERROR(INDEX(Lists!$U$3:$Y$5,MATCH(G41,Lists!$T$3:$T$5,0),MATCH(H41,Lists!$U$2:$Y$2,0)),"Check inputs"))</f>
        <v/>
      </c>
      <c r="J41" s="20"/>
      <c r="K41" s="20"/>
      <c r="L41" s="20"/>
      <c r="M41" s="20"/>
      <c r="N41" s="21"/>
      <c r="O41" s="20"/>
      <c r="P41" s="20"/>
    </row>
    <row r="42" customFormat="false" ht="15" hidden="false" customHeight="false" outlineLevel="0" collapsed="false">
      <c r="A42" s="20"/>
      <c r="B42" s="20"/>
      <c r="C42" s="20"/>
      <c r="D42" s="20"/>
      <c r="E42" s="20"/>
      <c r="F42" s="20"/>
      <c r="G42" s="20"/>
      <c r="H42" s="20"/>
      <c r="I42" s="27" t="str">
        <f aca="false">IF(OR(G42="",H42=""),"",IFERROR(INDEX(Lists!$U$3:$Y$5,MATCH(G42,Lists!$T$3:$T$5,0),MATCH(H42,Lists!$U$2:$Y$2,0)),"Check inputs"))</f>
        <v/>
      </c>
      <c r="J42" s="20"/>
      <c r="K42" s="20"/>
      <c r="L42" s="20"/>
      <c r="M42" s="20"/>
      <c r="N42" s="21"/>
      <c r="O42" s="20"/>
      <c r="P42" s="20"/>
    </row>
    <row r="43" customFormat="false" ht="15" hidden="false" customHeight="false" outlineLevel="0" collapsed="false">
      <c r="A43" s="20"/>
      <c r="B43" s="20"/>
      <c r="C43" s="20"/>
      <c r="D43" s="20"/>
      <c r="E43" s="20"/>
      <c r="F43" s="20"/>
      <c r="G43" s="20"/>
      <c r="H43" s="20"/>
      <c r="I43" s="27" t="str">
        <f aca="false">IF(OR(G43="",H43=""),"",IFERROR(INDEX(Lists!$U$3:$Y$5,MATCH(G43,Lists!$T$3:$T$5,0),MATCH(H43,Lists!$U$2:$Y$2,0)),"Check inputs"))</f>
        <v/>
      </c>
      <c r="J43" s="20"/>
      <c r="K43" s="20"/>
      <c r="L43" s="20"/>
      <c r="M43" s="20"/>
      <c r="N43" s="21"/>
      <c r="O43" s="20"/>
      <c r="P43" s="20"/>
    </row>
    <row r="44" customFormat="false" ht="15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27" t="str">
        <f aca="false">IF(OR(G44="",H44=""),"",IFERROR(INDEX(Lists!$U$3:$Y$5,MATCH(G44,Lists!$T$3:$T$5,0),MATCH(H44,Lists!$U$2:$Y$2,0)),"Check inputs"))</f>
        <v/>
      </c>
      <c r="J44" s="20"/>
      <c r="K44" s="20"/>
      <c r="L44" s="20"/>
      <c r="M44" s="20"/>
      <c r="N44" s="21"/>
      <c r="O44" s="20"/>
      <c r="P44" s="20"/>
    </row>
    <row r="45" customFormat="false" ht="15" hidden="false" customHeight="false" outlineLevel="0" collapsed="false">
      <c r="A45" s="20"/>
      <c r="B45" s="20"/>
      <c r="C45" s="20"/>
      <c r="D45" s="20"/>
      <c r="E45" s="20"/>
      <c r="F45" s="20"/>
      <c r="G45" s="20"/>
      <c r="H45" s="20"/>
      <c r="I45" s="27" t="str">
        <f aca="false">IF(OR(G45="",H45=""),"",IFERROR(INDEX(Lists!$U$3:$Y$5,MATCH(G45,Lists!$T$3:$T$5,0),MATCH(H45,Lists!$U$2:$Y$2,0)),"Check inputs"))</f>
        <v/>
      </c>
      <c r="J45" s="20"/>
      <c r="K45" s="20"/>
      <c r="L45" s="20"/>
      <c r="M45" s="20"/>
      <c r="N45" s="21"/>
      <c r="O45" s="20"/>
      <c r="P45" s="20"/>
    </row>
    <row r="46" customFormat="false" ht="15" hidden="false" customHeight="false" outlineLevel="0" collapsed="false">
      <c r="A46" s="20"/>
      <c r="B46" s="20"/>
      <c r="C46" s="20"/>
      <c r="D46" s="20"/>
      <c r="E46" s="20"/>
      <c r="F46" s="20"/>
      <c r="G46" s="20"/>
      <c r="H46" s="20"/>
      <c r="I46" s="27" t="str">
        <f aca="false">IF(OR(G46="",H46=""),"",IFERROR(INDEX(Lists!$U$3:$Y$5,MATCH(G46,Lists!$T$3:$T$5,0),MATCH(H46,Lists!$U$2:$Y$2,0)),"Check inputs"))</f>
        <v/>
      </c>
      <c r="J46" s="20"/>
      <c r="K46" s="20"/>
      <c r="L46" s="20"/>
      <c r="M46" s="20"/>
      <c r="N46" s="21"/>
      <c r="O46" s="20"/>
      <c r="P46" s="20"/>
    </row>
    <row r="47" customFormat="false" ht="15" hidden="false" customHeight="false" outlineLevel="0" collapsed="false">
      <c r="A47" s="20"/>
      <c r="B47" s="20"/>
      <c r="C47" s="20"/>
      <c r="D47" s="20"/>
      <c r="E47" s="20"/>
      <c r="F47" s="20"/>
      <c r="G47" s="20"/>
      <c r="H47" s="20"/>
      <c r="I47" s="27" t="str">
        <f aca="false">IF(OR(G47="",H47=""),"",IFERROR(INDEX(Lists!$U$3:$Y$5,MATCH(G47,Lists!$T$3:$T$5,0),MATCH(H47,Lists!$U$2:$Y$2,0)),"Check inputs"))</f>
        <v/>
      </c>
      <c r="J47" s="20"/>
      <c r="K47" s="20"/>
      <c r="L47" s="20"/>
      <c r="M47" s="20"/>
      <c r="N47" s="21"/>
      <c r="O47" s="20"/>
      <c r="P47" s="20"/>
    </row>
    <row r="48" customFormat="false" ht="1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I48" s="27" t="str">
        <f aca="false">IF(OR(G48="",H48=""),"",IFERROR(INDEX(Lists!$U$3:$Y$5,MATCH(G48,Lists!$T$3:$T$5,0),MATCH(H48,Lists!$U$2:$Y$2,0)),"Check inputs"))</f>
        <v/>
      </c>
      <c r="J48" s="20"/>
      <c r="K48" s="20"/>
      <c r="L48" s="20"/>
      <c r="M48" s="20"/>
      <c r="N48" s="21"/>
      <c r="O48" s="20"/>
      <c r="P48" s="20"/>
    </row>
    <row r="49" customFormat="false" ht="1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I49" s="27" t="str">
        <f aca="false">IF(OR(G49="",H49=""),"",IFERROR(INDEX(Lists!$U$3:$Y$5,MATCH(G49,Lists!$T$3:$T$5,0),MATCH(H49,Lists!$U$2:$Y$2,0)),"Check inputs"))</f>
        <v/>
      </c>
      <c r="J49" s="20"/>
      <c r="K49" s="20"/>
      <c r="L49" s="20"/>
      <c r="M49" s="20"/>
      <c r="N49" s="21"/>
      <c r="O49" s="20"/>
      <c r="P49" s="20"/>
    </row>
    <row r="50" customFormat="false" ht="1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I50" s="27" t="str">
        <f aca="false">IF(OR(G50="",H50=""),"",IFERROR(INDEX(Lists!$U$3:$Y$5,MATCH(G50,Lists!$T$3:$T$5,0),MATCH(H50,Lists!$U$2:$Y$2,0)),"Check inputs"))</f>
        <v/>
      </c>
      <c r="J50" s="20"/>
      <c r="K50" s="20"/>
      <c r="L50" s="20"/>
      <c r="M50" s="20"/>
      <c r="N50" s="21"/>
      <c r="O50" s="20"/>
      <c r="P50" s="20"/>
    </row>
    <row r="51" customFormat="false" ht="1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I51" s="27" t="str">
        <f aca="false">IF(OR(G51="",H51=""),"",IFERROR(INDEX(Lists!$U$3:$Y$5,MATCH(G51,Lists!$T$3:$T$5,0),MATCH(H51,Lists!$U$2:$Y$2,0)),"Check inputs"))</f>
        <v/>
      </c>
      <c r="J51" s="20"/>
      <c r="K51" s="20"/>
      <c r="L51" s="20"/>
      <c r="M51" s="20"/>
      <c r="N51" s="21"/>
      <c r="O51" s="20"/>
      <c r="P51" s="20"/>
    </row>
    <row r="52" customFormat="false" ht="1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7" t="str">
        <f aca="false">IF(OR(G52="",H52=""),"",IFERROR(INDEX(Lists!$U$3:$Y$5,MATCH(G52,Lists!$T$3:$T$5,0),MATCH(H52,Lists!$U$2:$Y$2,0)),"Check inputs"))</f>
        <v/>
      </c>
      <c r="J52" s="20"/>
      <c r="K52" s="20"/>
      <c r="L52" s="20"/>
      <c r="M52" s="20"/>
      <c r="N52" s="21"/>
      <c r="O52" s="20"/>
      <c r="P52" s="20"/>
    </row>
    <row r="53" customFormat="false" ht="1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7" t="str">
        <f aca="false">IF(OR(G53="",H53=""),"",IFERROR(INDEX(Lists!$U$3:$Y$5,MATCH(G53,Lists!$T$3:$T$5,0),MATCH(H53,Lists!$U$2:$Y$2,0)),"Check inputs"))</f>
        <v/>
      </c>
      <c r="J53" s="20"/>
      <c r="K53" s="20"/>
      <c r="L53" s="20"/>
      <c r="M53" s="20"/>
      <c r="N53" s="21"/>
      <c r="O53" s="20"/>
      <c r="P53" s="20"/>
    </row>
    <row r="54" customFormat="false" ht="1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7" t="str">
        <f aca="false">IF(OR(G54="",H54=""),"",IFERROR(INDEX(Lists!$U$3:$Y$5,MATCH(G54,Lists!$T$3:$T$5,0),MATCH(H54,Lists!$U$2:$Y$2,0)),"Check inputs"))</f>
        <v/>
      </c>
      <c r="J54" s="20"/>
      <c r="K54" s="20"/>
      <c r="L54" s="20"/>
      <c r="M54" s="20"/>
      <c r="N54" s="21"/>
      <c r="O54" s="20"/>
      <c r="P54" s="20"/>
    </row>
    <row r="55" customFormat="false" ht="1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7" t="str">
        <f aca="false">IF(OR(G55="",H55=""),"",IFERROR(INDEX(Lists!$U$3:$Y$5,MATCH(G55,Lists!$T$3:$T$5,0),MATCH(H55,Lists!$U$2:$Y$2,0)),"Check inputs"))</f>
        <v/>
      </c>
      <c r="J55" s="20"/>
      <c r="K55" s="20"/>
      <c r="L55" s="20"/>
      <c r="M55" s="20"/>
      <c r="N55" s="21"/>
      <c r="O55" s="20"/>
      <c r="P55" s="20"/>
    </row>
    <row r="56" customFormat="false" ht="1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7" t="str">
        <f aca="false">IF(OR(G56="",H56=""),"",IFERROR(INDEX(Lists!$U$3:$Y$5,MATCH(G56,Lists!$T$3:$T$5,0),MATCH(H56,Lists!$U$2:$Y$2,0)),"Check inputs"))</f>
        <v/>
      </c>
      <c r="J56" s="20"/>
      <c r="K56" s="20"/>
      <c r="L56" s="20"/>
      <c r="M56" s="20"/>
      <c r="N56" s="21"/>
      <c r="O56" s="20"/>
      <c r="P56" s="20"/>
    </row>
    <row r="57" customFormat="false" ht="1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7" t="str">
        <f aca="false">IF(OR(G57="",H57=""),"",IFERROR(INDEX(Lists!$U$3:$Y$5,MATCH(G57,Lists!$T$3:$T$5,0),MATCH(H57,Lists!$U$2:$Y$2,0)),"Check inputs"))</f>
        <v/>
      </c>
      <c r="J57" s="20"/>
      <c r="K57" s="20"/>
      <c r="L57" s="20"/>
      <c r="M57" s="20"/>
      <c r="N57" s="21"/>
      <c r="O57" s="20"/>
      <c r="P57" s="20"/>
    </row>
    <row r="58" customFormat="false" ht="1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7" t="str">
        <f aca="false">IF(OR(G58="",H58=""),"",IFERROR(INDEX(Lists!$U$3:$Y$5,MATCH(G58,Lists!$T$3:$T$5,0),MATCH(H58,Lists!$U$2:$Y$2,0)),"Check inputs"))</f>
        <v/>
      </c>
      <c r="J58" s="20"/>
      <c r="K58" s="20"/>
      <c r="L58" s="20"/>
      <c r="M58" s="20"/>
      <c r="N58" s="21"/>
      <c r="O58" s="20"/>
      <c r="P58" s="20"/>
    </row>
    <row r="59" customFormat="false" ht="1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7" t="str">
        <f aca="false">IF(OR(G59="",H59=""),"",IFERROR(INDEX(Lists!$U$3:$Y$5,MATCH(G59,Lists!$T$3:$T$5,0),MATCH(H59,Lists!$U$2:$Y$2,0)),"Check inputs"))</f>
        <v/>
      </c>
      <c r="J59" s="20"/>
      <c r="K59" s="20"/>
      <c r="L59" s="20"/>
      <c r="M59" s="20"/>
      <c r="N59" s="21"/>
      <c r="O59" s="20"/>
      <c r="P59" s="20"/>
    </row>
    <row r="60" customFormat="false" ht="1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7" t="str">
        <f aca="false">IF(OR(G60="",H60=""),"",IFERROR(INDEX(Lists!$U$3:$Y$5,MATCH(G60,Lists!$T$3:$T$5,0),MATCH(H60,Lists!$U$2:$Y$2,0)),"Check inputs"))</f>
        <v/>
      </c>
      <c r="J60" s="20"/>
      <c r="K60" s="20"/>
      <c r="L60" s="20"/>
      <c r="M60" s="20"/>
      <c r="N60" s="21"/>
      <c r="O60" s="20"/>
      <c r="P60" s="20"/>
    </row>
    <row r="61" customFormat="false" ht="1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7" t="str">
        <f aca="false">IF(OR(G61="",H61=""),"",IFERROR(INDEX(Lists!$U$3:$Y$5,MATCH(G61,Lists!$T$3:$T$5,0),MATCH(H61,Lists!$U$2:$Y$2,0)),"Check inputs"))</f>
        <v/>
      </c>
      <c r="J61" s="20"/>
      <c r="K61" s="20"/>
      <c r="L61" s="20"/>
      <c r="M61" s="20"/>
      <c r="N61" s="21"/>
      <c r="O61" s="20"/>
      <c r="P61" s="20"/>
    </row>
    <row r="62" customFormat="false" ht="1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7" t="str">
        <f aca="false">IF(OR(G62="",H62=""),"",IFERROR(INDEX(Lists!$U$3:$Y$5,MATCH(G62,Lists!$T$3:$T$5,0),MATCH(H62,Lists!$U$2:$Y$2,0)),"Check inputs"))</f>
        <v/>
      </c>
      <c r="J62" s="20"/>
      <c r="K62" s="20"/>
      <c r="L62" s="20"/>
      <c r="M62" s="20"/>
      <c r="N62" s="21"/>
      <c r="O62" s="20"/>
      <c r="P62" s="20"/>
    </row>
    <row r="63" customFormat="false" ht="1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7" t="str">
        <f aca="false">IF(OR(G63="",H63=""),"",IFERROR(INDEX(Lists!$U$3:$Y$5,MATCH(G63,Lists!$T$3:$T$5,0),MATCH(H63,Lists!$U$2:$Y$2,0)),"Check inputs"))</f>
        <v/>
      </c>
      <c r="J63" s="20"/>
      <c r="K63" s="20"/>
      <c r="L63" s="20"/>
      <c r="M63" s="20"/>
      <c r="N63" s="21"/>
      <c r="O63" s="20"/>
      <c r="P63" s="20"/>
    </row>
    <row r="64" customFormat="false" ht="1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7" t="str">
        <f aca="false">IF(OR(G64="",H64=""),"",IFERROR(INDEX(Lists!$U$3:$Y$5,MATCH(G64,Lists!$T$3:$T$5,0),MATCH(H64,Lists!$U$2:$Y$2,0)),"Check inputs"))</f>
        <v/>
      </c>
      <c r="J64" s="20"/>
      <c r="K64" s="20"/>
      <c r="L64" s="20"/>
      <c r="M64" s="20"/>
      <c r="N64" s="21"/>
      <c r="O64" s="20"/>
      <c r="P64" s="20"/>
    </row>
    <row r="65" customFormat="false" ht="1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7" t="str">
        <f aca="false">IF(OR(G65="",H65=""),"",IFERROR(INDEX(Lists!$U$3:$Y$5,MATCH(G65,Lists!$T$3:$T$5,0),MATCH(H65,Lists!$U$2:$Y$2,0)),"Check inputs"))</f>
        <v/>
      </c>
      <c r="J65" s="20"/>
      <c r="K65" s="20"/>
      <c r="L65" s="20"/>
      <c r="M65" s="20"/>
      <c r="N65" s="21"/>
      <c r="O65" s="20"/>
      <c r="P65" s="20"/>
    </row>
    <row r="66" customFormat="false" ht="1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7" t="str">
        <f aca="false">IF(OR(G66="",H66=""),"",IFERROR(INDEX(Lists!$U$3:$Y$5,MATCH(G66,Lists!$T$3:$T$5,0),MATCH(H66,Lists!$U$2:$Y$2,0)),"Check inputs"))</f>
        <v/>
      </c>
      <c r="J66" s="20"/>
      <c r="K66" s="20"/>
      <c r="L66" s="20"/>
      <c r="M66" s="20"/>
      <c r="N66" s="21"/>
      <c r="O66" s="20"/>
      <c r="P66" s="20"/>
    </row>
    <row r="67" customFormat="false" ht="1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7" t="str">
        <f aca="false">IF(OR(G67="",H67=""),"",IFERROR(INDEX(Lists!$U$3:$Y$5,MATCH(G67,Lists!$T$3:$T$5,0),MATCH(H67,Lists!$U$2:$Y$2,0)),"Check inputs"))</f>
        <v/>
      </c>
      <c r="J67" s="20"/>
      <c r="K67" s="20"/>
      <c r="L67" s="20"/>
      <c r="M67" s="20"/>
      <c r="N67" s="21"/>
      <c r="O67" s="20"/>
      <c r="P67" s="20"/>
    </row>
    <row r="68" customFormat="false" ht="1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7" t="str">
        <f aca="false">IF(OR(G68="",H68=""),"",IFERROR(INDEX(Lists!$U$3:$Y$5,MATCH(G68,Lists!$T$3:$T$5,0),MATCH(H68,Lists!$U$2:$Y$2,0)),"Check inputs"))</f>
        <v/>
      </c>
      <c r="J68" s="20"/>
      <c r="K68" s="20"/>
      <c r="L68" s="20"/>
      <c r="M68" s="20"/>
      <c r="N68" s="21"/>
      <c r="O68" s="20"/>
      <c r="P68" s="20"/>
    </row>
    <row r="69" customFormat="false" ht="1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7" t="str">
        <f aca="false">IF(OR(G69="",H69=""),"",IFERROR(INDEX(Lists!$U$3:$Y$5,MATCH(G69,Lists!$T$3:$T$5,0),MATCH(H69,Lists!$U$2:$Y$2,0)),"Check inputs"))</f>
        <v/>
      </c>
      <c r="J69" s="20"/>
      <c r="K69" s="20"/>
      <c r="L69" s="20"/>
      <c r="M69" s="20"/>
      <c r="N69" s="21"/>
      <c r="O69" s="20"/>
      <c r="P69" s="20"/>
    </row>
    <row r="70" customFormat="false" ht="1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7" t="str">
        <f aca="false">IF(OR(G70="",H70=""),"",IFERROR(INDEX(Lists!$U$3:$Y$5,MATCH(G70,Lists!$T$3:$T$5,0),MATCH(H70,Lists!$U$2:$Y$2,0)),"Check inputs"))</f>
        <v/>
      </c>
      <c r="J70" s="20"/>
      <c r="K70" s="20"/>
      <c r="L70" s="20"/>
      <c r="M70" s="20"/>
      <c r="N70" s="21"/>
      <c r="O70" s="20"/>
      <c r="P70" s="20"/>
    </row>
    <row r="71" customFormat="false" ht="1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7" t="str">
        <f aca="false">IF(OR(G71="",H71=""),"",IFERROR(INDEX(Lists!$U$3:$Y$5,MATCH(G71,Lists!$T$3:$T$5,0),MATCH(H71,Lists!$U$2:$Y$2,0)),"Check inputs"))</f>
        <v/>
      </c>
      <c r="J71" s="20"/>
      <c r="K71" s="20"/>
      <c r="L71" s="20"/>
      <c r="M71" s="20"/>
      <c r="N71" s="21"/>
      <c r="O71" s="20"/>
      <c r="P71" s="20"/>
    </row>
    <row r="72" customFormat="false" ht="1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7" t="str">
        <f aca="false">IF(OR(G72="",H72=""),"",IFERROR(INDEX(Lists!$U$3:$Y$5,MATCH(G72,Lists!$T$3:$T$5,0),MATCH(H72,Lists!$U$2:$Y$2,0)),"Check inputs"))</f>
        <v/>
      </c>
      <c r="J72" s="20"/>
      <c r="K72" s="20"/>
      <c r="L72" s="20"/>
      <c r="M72" s="20"/>
      <c r="N72" s="21"/>
      <c r="O72" s="20"/>
      <c r="P72" s="20"/>
    </row>
    <row r="73" customFormat="false" ht="1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7" t="str">
        <f aca="false">IF(OR(G73="",H73=""),"",IFERROR(INDEX(Lists!$U$3:$Y$5,MATCH(G73,Lists!$T$3:$T$5,0),MATCH(H73,Lists!$U$2:$Y$2,0)),"Check inputs"))</f>
        <v/>
      </c>
      <c r="J73" s="20"/>
      <c r="K73" s="20"/>
      <c r="L73" s="20"/>
      <c r="M73" s="20"/>
      <c r="N73" s="21"/>
      <c r="O73" s="20"/>
      <c r="P73" s="20"/>
    </row>
    <row r="74" customFormat="false" ht="1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7" t="str">
        <f aca="false">IF(OR(G74="",H74=""),"",IFERROR(INDEX(Lists!$U$3:$Y$5,MATCH(G74,Lists!$T$3:$T$5,0),MATCH(H74,Lists!$U$2:$Y$2,0)),"Check inputs"))</f>
        <v/>
      </c>
      <c r="J74" s="20"/>
      <c r="K74" s="20"/>
      <c r="L74" s="20"/>
      <c r="M74" s="20"/>
      <c r="N74" s="21"/>
      <c r="O74" s="20"/>
      <c r="P74" s="20"/>
    </row>
    <row r="75" customFormat="false" ht="1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7" t="str">
        <f aca="false">IF(OR(G75="",H75=""),"",IFERROR(INDEX(Lists!$U$3:$Y$5,MATCH(G75,Lists!$T$3:$T$5,0),MATCH(H75,Lists!$U$2:$Y$2,0)),"Check inputs"))</f>
        <v/>
      </c>
      <c r="J75" s="20"/>
      <c r="K75" s="20"/>
      <c r="L75" s="20"/>
      <c r="M75" s="20"/>
      <c r="N75" s="21"/>
      <c r="O75" s="20"/>
      <c r="P75" s="20"/>
    </row>
    <row r="76" customFormat="false" ht="1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7" t="str">
        <f aca="false">IF(OR(G76="",H76=""),"",IFERROR(INDEX(Lists!$U$3:$Y$5,MATCH(G76,Lists!$T$3:$T$5,0),MATCH(H76,Lists!$U$2:$Y$2,0)),"Check inputs"))</f>
        <v/>
      </c>
      <c r="J76" s="20"/>
      <c r="K76" s="20"/>
      <c r="L76" s="20"/>
      <c r="M76" s="20"/>
      <c r="N76" s="21"/>
      <c r="O76" s="20"/>
      <c r="P76" s="20"/>
    </row>
    <row r="77" customFormat="false" ht="1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7" t="str">
        <f aca="false">IF(OR(G77="",H77=""),"",IFERROR(INDEX(Lists!$U$3:$Y$5,MATCH(G77,Lists!$T$3:$T$5,0),MATCH(H77,Lists!$U$2:$Y$2,0)),"Check inputs"))</f>
        <v/>
      </c>
      <c r="J77" s="20"/>
      <c r="K77" s="20"/>
      <c r="L77" s="20"/>
      <c r="M77" s="20"/>
      <c r="N77" s="21"/>
      <c r="O77" s="20"/>
      <c r="P77" s="20"/>
    </row>
    <row r="78" customFormat="false" ht="1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7" t="str">
        <f aca="false">IF(OR(G78="",H78=""),"",IFERROR(INDEX(Lists!$U$3:$Y$5,MATCH(G78,Lists!$T$3:$T$5,0),MATCH(H78,Lists!$U$2:$Y$2,0)),"Check inputs"))</f>
        <v/>
      </c>
      <c r="J78" s="20"/>
      <c r="K78" s="20"/>
      <c r="L78" s="20"/>
      <c r="M78" s="20"/>
      <c r="N78" s="21"/>
      <c r="O78" s="20"/>
      <c r="P78" s="20"/>
    </row>
    <row r="79" customFormat="false" ht="1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7" t="str">
        <f aca="false">IF(OR(G79="",H79=""),"",IFERROR(INDEX(Lists!$U$3:$Y$5,MATCH(G79,Lists!$T$3:$T$5,0),MATCH(H79,Lists!$U$2:$Y$2,0)),"Check inputs"))</f>
        <v/>
      </c>
      <c r="J79" s="20"/>
      <c r="K79" s="20"/>
      <c r="L79" s="20"/>
      <c r="M79" s="20"/>
      <c r="N79" s="21"/>
      <c r="O79" s="20"/>
      <c r="P79" s="20"/>
    </row>
    <row r="80" customFormat="false" ht="1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7" t="str">
        <f aca="false">IF(OR(G80="",H80=""),"",IFERROR(INDEX(Lists!$U$3:$Y$5,MATCH(G80,Lists!$T$3:$T$5,0),MATCH(H80,Lists!$U$2:$Y$2,0)),"Check inputs"))</f>
        <v/>
      </c>
      <c r="J80" s="20"/>
      <c r="K80" s="20"/>
      <c r="L80" s="20"/>
      <c r="M80" s="20"/>
      <c r="N80" s="21"/>
      <c r="O80" s="20"/>
      <c r="P80" s="20"/>
    </row>
    <row r="81" customFormat="false" ht="1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7" t="str">
        <f aca="false">IF(OR(G81="",H81=""),"",IFERROR(INDEX(Lists!$U$3:$Y$5,MATCH(G81,Lists!$T$3:$T$5,0),MATCH(H81,Lists!$U$2:$Y$2,0)),"Check inputs"))</f>
        <v/>
      </c>
      <c r="J81" s="20"/>
      <c r="K81" s="20"/>
      <c r="L81" s="20"/>
      <c r="M81" s="20"/>
      <c r="N81" s="21"/>
      <c r="O81" s="20"/>
      <c r="P81" s="20"/>
    </row>
    <row r="82" customFormat="false" ht="1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7" t="str">
        <f aca="false">IF(OR(G82="",H82=""),"",IFERROR(INDEX(Lists!$U$3:$Y$5,MATCH(G82,Lists!$T$3:$T$5,0),MATCH(H82,Lists!$U$2:$Y$2,0)),"Check inputs"))</f>
        <v/>
      </c>
      <c r="J82" s="20"/>
      <c r="K82" s="20"/>
      <c r="L82" s="20"/>
      <c r="M82" s="20"/>
      <c r="N82" s="21"/>
      <c r="O82" s="20"/>
      <c r="P82" s="20"/>
    </row>
    <row r="83" customFormat="false" ht="1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7" t="str">
        <f aca="false">IF(OR(G83="",H83=""),"",IFERROR(INDEX(Lists!$U$3:$Y$5,MATCH(G83,Lists!$T$3:$T$5,0),MATCH(H83,Lists!$U$2:$Y$2,0)),"Check inputs"))</f>
        <v/>
      </c>
      <c r="J83" s="20"/>
      <c r="K83" s="20"/>
      <c r="L83" s="20"/>
      <c r="M83" s="20"/>
      <c r="N83" s="21"/>
      <c r="O83" s="20"/>
      <c r="P83" s="20"/>
    </row>
    <row r="84" customFormat="false" ht="1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7" t="str">
        <f aca="false">IF(OR(G84="",H84=""),"",IFERROR(INDEX(Lists!$U$3:$Y$5,MATCH(G84,Lists!$T$3:$T$5,0),MATCH(H84,Lists!$U$2:$Y$2,0)),"Check inputs"))</f>
        <v/>
      </c>
      <c r="J84" s="20"/>
      <c r="K84" s="20"/>
      <c r="L84" s="20"/>
      <c r="M84" s="20"/>
      <c r="N84" s="21"/>
      <c r="O84" s="20"/>
      <c r="P84" s="20"/>
    </row>
    <row r="85" customFormat="false" ht="1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7" t="str">
        <f aca="false">IF(OR(G85="",H85=""),"",IFERROR(INDEX(Lists!$U$3:$Y$5,MATCH(G85,Lists!$T$3:$T$5,0),MATCH(H85,Lists!$U$2:$Y$2,0)),"Check inputs"))</f>
        <v/>
      </c>
      <c r="J85" s="20"/>
      <c r="K85" s="20"/>
      <c r="L85" s="20"/>
      <c r="M85" s="20"/>
      <c r="N85" s="21"/>
      <c r="O85" s="20"/>
      <c r="P85" s="20"/>
    </row>
    <row r="86" customFormat="false" ht="1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7" t="str">
        <f aca="false">IF(OR(G86="",H86=""),"",IFERROR(INDEX(Lists!$U$3:$Y$5,MATCH(G86,Lists!$T$3:$T$5,0),MATCH(H86,Lists!$U$2:$Y$2,0)),"Check inputs"))</f>
        <v/>
      </c>
      <c r="J86" s="20"/>
      <c r="K86" s="20"/>
      <c r="L86" s="20"/>
      <c r="M86" s="20"/>
      <c r="N86" s="21"/>
      <c r="O86" s="20"/>
      <c r="P86" s="20"/>
    </row>
    <row r="87" customFormat="false" ht="1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7" t="str">
        <f aca="false">IF(OR(G87="",H87=""),"",IFERROR(INDEX(Lists!$U$3:$Y$5,MATCH(G87,Lists!$T$3:$T$5,0),MATCH(H87,Lists!$U$2:$Y$2,0)),"Check inputs"))</f>
        <v/>
      </c>
      <c r="J87" s="20"/>
      <c r="K87" s="20"/>
      <c r="L87" s="20"/>
      <c r="M87" s="20"/>
      <c r="N87" s="21"/>
      <c r="O87" s="20"/>
      <c r="P87" s="20"/>
    </row>
    <row r="88" customFormat="false" ht="1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7" t="str">
        <f aca="false">IF(OR(G88="",H88=""),"",IFERROR(INDEX(Lists!$U$3:$Y$5,MATCH(G88,Lists!$T$3:$T$5,0),MATCH(H88,Lists!$U$2:$Y$2,0)),"Check inputs"))</f>
        <v/>
      </c>
      <c r="J88" s="20"/>
      <c r="K88" s="20"/>
      <c r="L88" s="20"/>
      <c r="M88" s="20"/>
      <c r="N88" s="21"/>
      <c r="O88" s="20"/>
      <c r="P88" s="20"/>
    </row>
    <row r="89" customFormat="false" ht="1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7" t="str">
        <f aca="false">IF(OR(G89="",H89=""),"",IFERROR(INDEX(Lists!$U$3:$Y$5,MATCH(G89,Lists!$T$3:$T$5,0),MATCH(H89,Lists!$U$2:$Y$2,0)),"Check inputs"))</f>
        <v/>
      </c>
      <c r="J89" s="20"/>
      <c r="K89" s="20"/>
      <c r="L89" s="20"/>
      <c r="M89" s="20"/>
      <c r="N89" s="21"/>
      <c r="O89" s="20"/>
      <c r="P89" s="20"/>
    </row>
    <row r="90" customFormat="false" ht="1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7" t="str">
        <f aca="false">IF(OR(G90="",H90=""),"",IFERROR(INDEX(Lists!$U$3:$Y$5,MATCH(G90,Lists!$T$3:$T$5,0),MATCH(H90,Lists!$U$2:$Y$2,0)),"Check inputs"))</f>
        <v/>
      </c>
      <c r="J90" s="20"/>
      <c r="K90" s="20"/>
      <c r="L90" s="20"/>
      <c r="M90" s="20"/>
      <c r="N90" s="21"/>
      <c r="O90" s="20"/>
      <c r="P90" s="20"/>
    </row>
    <row r="91" customFormat="false" ht="1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7" t="str">
        <f aca="false">IF(OR(G91="",H91=""),"",IFERROR(INDEX(Lists!$U$3:$Y$5,MATCH(G91,Lists!$T$3:$T$5,0),MATCH(H91,Lists!$U$2:$Y$2,0)),"Check inputs"))</f>
        <v/>
      </c>
      <c r="J91" s="20"/>
      <c r="K91" s="20"/>
      <c r="L91" s="20"/>
      <c r="M91" s="20"/>
      <c r="N91" s="21"/>
      <c r="O91" s="20"/>
      <c r="P91" s="20"/>
    </row>
    <row r="92" customFormat="false" ht="1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7" t="str">
        <f aca="false">IF(OR(G92="",H92=""),"",IFERROR(INDEX(Lists!$U$3:$Y$5,MATCH(G92,Lists!$T$3:$T$5,0),MATCH(H92,Lists!$U$2:$Y$2,0)),"Check inputs"))</f>
        <v/>
      </c>
      <c r="J92" s="20"/>
      <c r="K92" s="20"/>
      <c r="L92" s="20"/>
      <c r="M92" s="20"/>
      <c r="N92" s="21"/>
      <c r="O92" s="20"/>
      <c r="P92" s="20"/>
    </row>
    <row r="93" customFormat="false" ht="1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7" t="str">
        <f aca="false">IF(OR(G93="",H93=""),"",IFERROR(INDEX(Lists!$U$3:$Y$5,MATCH(G93,Lists!$T$3:$T$5,0),MATCH(H93,Lists!$U$2:$Y$2,0)),"Check inputs"))</f>
        <v/>
      </c>
      <c r="J93" s="20"/>
      <c r="K93" s="20"/>
      <c r="L93" s="20"/>
      <c r="M93" s="20"/>
      <c r="N93" s="21"/>
      <c r="O93" s="20"/>
      <c r="P93" s="20"/>
    </row>
    <row r="94" customFormat="false" ht="1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7" t="str">
        <f aca="false">IF(OR(G94="",H94=""),"",IFERROR(INDEX(Lists!$U$3:$Y$5,MATCH(G94,Lists!$T$3:$T$5,0),MATCH(H94,Lists!$U$2:$Y$2,0)),"Check inputs"))</f>
        <v/>
      </c>
      <c r="J94" s="20"/>
      <c r="K94" s="20"/>
      <c r="L94" s="20"/>
      <c r="M94" s="20"/>
      <c r="N94" s="21"/>
      <c r="O94" s="20"/>
      <c r="P94" s="20"/>
    </row>
    <row r="95" customFormat="false" ht="1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7" t="str">
        <f aca="false">IF(OR(G95="",H95=""),"",IFERROR(INDEX(Lists!$U$3:$Y$5,MATCH(G95,Lists!$T$3:$T$5,0),MATCH(H95,Lists!$U$2:$Y$2,0)),"Check inputs"))</f>
        <v/>
      </c>
      <c r="J95" s="20"/>
      <c r="K95" s="20"/>
      <c r="L95" s="20"/>
      <c r="M95" s="20"/>
      <c r="N95" s="21"/>
      <c r="O95" s="20"/>
      <c r="P95" s="20"/>
    </row>
    <row r="96" customFormat="false" ht="1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7" t="str">
        <f aca="false">IF(OR(G96="",H96=""),"",IFERROR(INDEX(Lists!$U$3:$Y$5,MATCH(G96,Lists!$T$3:$T$5,0),MATCH(H96,Lists!$U$2:$Y$2,0)),"Check inputs"))</f>
        <v/>
      </c>
      <c r="J96" s="20"/>
      <c r="K96" s="20"/>
      <c r="L96" s="20"/>
      <c r="M96" s="20"/>
      <c r="N96" s="21"/>
      <c r="O96" s="20"/>
      <c r="P96" s="20"/>
    </row>
    <row r="97" customFormat="false" ht="1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7" t="str">
        <f aca="false">IF(OR(G97="",H97=""),"",IFERROR(INDEX(Lists!$U$3:$Y$5,MATCH(G97,Lists!$T$3:$T$5,0),MATCH(H97,Lists!$U$2:$Y$2,0)),"Check inputs"))</f>
        <v/>
      </c>
      <c r="J97" s="20"/>
      <c r="K97" s="20"/>
      <c r="L97" s="20"/>
      <c r="M97" s="20"/>
      <c r="N97" s="21"/>
      <c r="O97" s="20"/>
      <c r="P97" s="20"/>
    </row>
    <row r="98" customFormat="false" ht="1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7" t="str">
        <f aca="false">IF(OR(G98="",H98=""),"",IFERROR(INDEX(Lists!$U$3:$Y$5,MATCH(G98,Lists!$T$3:$T$5,0),MATCH(H98,Lists!$U$2:$Y$2,0)),"Check inputs"))</f>
        <v/>
      </c>
      <c r="J98" s="20"/>
      <c r="K98" s="20"/>
      <c r="L98" s="20"/>
      <c r="M98" s="20"/>
      <c r="N98" s="21"/>
      <c r="O98" s="20"/>
      <c r="P98" s="20"/>
    </row>
    <row r="99" customFormat="false" ht="1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7" t="str">
        <f aca="false">IF(OR(G99="",H99=""),"",IFERROR(INDEX(Lists!$U$3:$Y$5,MATCH(G99,Lists!$T$3:$T$5,0),MATCH(H99,Lists!$U$2:$Y$2,0)),"Check inputs"))</f>
        <v/>
      </c>
      <c r="J99" s="20"/>
      <c r="K99" s="20"/>
      <c r="L99" s="20"/>
      <c r="M99" s="20"/>
      <c r="N99" s="21"/>
      <c r="O99" s="20"/>
      <c r="P99" s="20"/>
    </row>
    <row r="100" customFormat="false" ht="1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7" t="str">
        <f aca="false">IF(OR(G100="",H100=""),"",IFERROR(INDEX(Lists!$U$3:$Y$5,MATCH(G100,Lists!$T$3:$T$5,0),MATCH(H100,Lists!$U$2:$Y$2,0)),"Check inputs"))</f>
        <v/>
      </c>
      <c r="J100" s="20"/>
      <c r="K100" s="20"/>
      <c r="L100" s="20"/>
      <c r="M100" s="20"/>
      <c r="N100" s="21"/>
      <c r="O100" s="20"/>
      <c r="P100" s="20"/>
    </row>
    <row r="101" customFormat="false" ht="1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7" t="str">
        <f aca="false">IF(OR(G101="",H101=""),"",IFERROR(INDEX(Lists!$U$3:$Y$5,MATCH(G101,Lists!$T$3:$T$5,0),MATCH(H101,Lists!$U$2:$Y$2,0)),"Check inputs"))</f>
        <v/>
      </c>
      <c r="J101" s="20"/>
      <c r="K101" s="20"/>
      <c r="L101" s="20"/>
      <c r="M101" s="20"/>
      <c r="N101" s="21"/>
      <c r="O101" s="20"/>
      <c r="P101" s="20"/>
    </row>
    <row r="102" customFormat="false" ht="1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7" t="str">
        <f aca="false">IF(OR(G102="",H102=""),"",IFERROR(INDEX(Lists!$U$3:$Y$5,MATCH(G102,Lists!$T$3:$T$5,0),MATCH(H102,Lists!$U$2:$Y$2,0)),"Check inputs"))</f>
        <v/>
      </c>
      <c r="J102" s="20"/>
      <c r="K102" s="20"/>
      <c r="L102" s="20"/>
      <c r="M102" s="20"/>
      <c r="N102" s="21"/>
      <c r="O102" s="20"/>
      <c r="P102" s="20"/>
    </row>
    <row r="103" customFormat="false" ht="1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7" t="str">
        <f aca="false">IF(OR(G103="",H103=""),"",IFERROR(INDEX(Lists!$U$3:$Y$5,MATCH(G103,Lists!$T$3:$T$5,0),MATCH(H103,Lists!$U$2:$Y$2,0)),"Check inputs"))</f>
        <v/>
      </c>
      <c r="J103" s="20"/>
      <c r="K103" s="20"/>
      <c r="L103" s="20"/>
      <c r="M103" s="20"/>
      <c r="N103" s="21"/>
      <c r="O103" s="20"/>
      <c r="P103" s="20"/>
    </row>
    <row r="104" customFormat="false" ht="1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7" t="str">
        <f aca="false">IF(OR(G104="",H104=""),"",IFERROR(INDEX(Lists!$U$3:$Y$5,MATCH(G104,Lists!$T$3:$T$5,0),MATCH(H104,Lists!$U$2:$Y$2,0)),"Check inputs"))</f>
        <v/>
      </c>
      <c r="J104" s="20"/>
      <c r="K104" s="20"/>
      <c r="L104" s="20"/>
      <c r="M104" s="20"/>
      <c r="N104" s="21"/>
      <c r="O104" s="20"/>
      <c r="P104" s="20"/>
    </row>
    <row r="105" customFormat="false" ht="1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7" t="str">
        <f aca="false">IF(OR(G105="",H105=""),"",IFERROR(INDEX(Lists!$U$3:$Y$5,MATCH(G105,Lists!$T$3:$T$5,0),MATCH(H105,Lists!$U$2:$Y$2,0)),"Check inputs"))</f>
        <v/>
      </c>
      <c r="J105" s="20"/>
      <c r="K105" s="20"/>
      <c r="L105" s="20"/>
      <c r="M105" s="20"/>
      <c r="N105" s="21"/>
      <c r="O105" s="20"/>
      <c r="P105" s="20"/>
    </row>
    <row r="106" customFormat="false" ht="1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7" t="str">
        <f aca="false">IF(OR(G106="",H106=""),"",IFERROR(INDEX(Lists!$U$3:$Y$5,MATCH(G106,Lists!$T$3:$T$5,0),MATCH(H106,Lists!$U$2:$Y$2,0)),"Check inputs"))</f>
        <v/>
      </c>
      <c r="J106" s="20"/>
      <c r="K106" s="20"/>
      <c r="L106" s="20"/>
      <c r="M106" s="20"/>
      <c r="N106" s="21"/>
      <c r="O106" s="20"/>
      <c r="P106" s="20"/>
    </row>
    <row r="107" customFormat="false" ht="1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7" t="str">
        <f aca="false">IF(OR(G107="",H107=""),"",IFERROR(INDEX(Lists!$U$3:$Y$5,MATCH(G107,Lists!$T$3:$T$5,0),MATCH(H107,Lists!$U$2:$Y$2,0)),"Check inputs"))</f>
        <v/>
      </c>
      <c r="J107" s="20"/>
      <c r="K107" s="20"/>
      <c r="L107" s="20"/>
      <c r="M107" s="20"/>
      <c r="N107" s="21"/>
      <c r="O107" s="20"/>
      <c r="P107" s="20"/>
    </row>
    <row r="108" customFormat="false" ht="1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7" t="str">
        <f aca="false">IF(OR(G108="",H108=""),"",IFERROR(INDEX(Lists!$U$3:$Y$5,MATCH(G108,Lists!$T$3:$T$5,0),MATCH(H108,Lists!$U$2:$Y$2,0)),"Check inputs"))</f>
        <v/>
      </c>
      <c r="J108" s="20"/>
      <c r="K108" s="20"/>
      <c r="L108" s="20"/>
      <c r="M108" s="20"/>
      <c r="N108" s="21"/>
      <c r="O108" s="20"/>
      <c r="P108" s="20"/>
    </row>
    <row r="109" customFormat="false" ht="1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7" t="str">
        <f aca="false">IF(OR(G109="",H109=""),"",IFERROR(INDEX(Lists!$U$3:$Y$5,MATCH(G109,Lists!$T$3:$T$5,0),MATCH(H109,Lists!$U$2:$Y$2,0)),"Check inputs"))</f>
        <v/>
      </c>
      <c r="J109" s="20"/>
      <c r="K109" s="20"/>
      <c r="L109" s="20"/>
      <c r="M109" s="20"/>
      <c r="N109" s="21"/>
      <c r="O109" s="20"/>
      <c r="P109" s="20"/>
    </row>
    <row r="110" customFormat="false" ht="1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7" t="str">
        <f aca="false">IF(OR(G110="",H110=""),"",IFERROR(INDEX(Lists!$U$3:$Y$5,MATCH(G110,Lists!$T$3:$T$5,0),MATCH(H110,Lists!$U$2:$Y$2,0)),"Check inputs"))</f>
        <v/>
      </c>
      <c r="J110" s="20"/>
      <c r="K110" s="20"/>
      <c r="L110" s="20"/>
      <c r="M110" s="20"/>
      <c r="N110" s="21"/>
      <c r="O110" s="20"/>
      <c r="P110" s="20"/>
    </row>
    <row r="111" customFormat="false" ht="1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7" t="str">
        <f aca="false">IF(OR(G111="",H111=""),"",IFERROR(INDEX(Lists!$U$3:$Y$5,MATCH(G111,Lists!$T$3:$T$5,0),MATCH(H111,Lists!$U$2:$Y$2,0)),"Check inputs"))</f>
        <v/>
      </c>
      <c r="J111" s="20"/>
      <c r="K111" s="20"/>
      <c r="L111" s="20"/>
      <c r="M111" s="20"/>
      <c r="N111" s="21"/>
      <c r="O111" s="20"/>
      <c r="P111" s="20"/>
    </row>
    <row r="112" customFormat="false" ht="1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7" t="str">
        <f aca="false">IF(OR(G112="",H112=""),"",IFERROR(INDEX(Lists!$U$3:$Y$5,MATCH(G112,Lists!$T$3:$T$5,0),MATCH(H112,Lists!$U$2:$Y$2,0)),"Check inputs"))</f>
        <v/>
      </c>
      <c r="J112" s="20"/>
      <c r="K112" s="20"/>
      <c r="L112" s="20"/>
      <c r="M112" s="20"/>
      <c r="N112" s="21"/>
      <c r="O112" s="20"/>
      <c r="P112" s="20"/>
    </row>
    <row r="113" customFormat="false" ht="1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7" t="str">
        <f aca="false">IF(OR(G113="",H113=""),"",IFERROR(INDEX(Lists!$U$3:$Y$5,MATCH(G113,Lists!$T$3:$T$5,0),MATCH(H113,Lists!$U$2:$Y$2,0)),"Check inputs"))</f>
        <v/>
      </c>
      <c r="J113" s="20"/>
      <c r="K113" s="20"/>
      <c r="L113" s="20"/>
      <c r="M113" s="20"/>
      <c r="N113" s="21"/>
      <c r="O113" s="20"/>
      <c r="P113" s="20"/>
    </row>
    <row r="114" customFormat="false" ht="1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7" t="str">
        <f aca="false">IF(OR(G114="",H114=""),"",IFERROR(INDEX(Lists!$U$3:$Y$5,MATCH(G114,Lists!$T$3:$T$5,0),MATCH(H114,Lists!$U$2:$Y$2,0)),"Check inputs"))</f>
        <v/>
      </c>
      <c r="J114" s="20"/>
      <c r="K114" s="20"/>
      <c r="L114" s="20"/>
      <c r="M114" s="20"/>
      <c r="N114" s="21"/>
      <c r="O114" s="20"/>
      <c r="P114" s="20"/>
    </row>
    <row r="115" customFormat="false" ht="1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7" t="str">
        <f aca="false">IF(OR(G115="",H115=""),"",IFERROR(INDEX(Lists!$U$3:$Y$5,MATCH(G115,Lists!$T$3:$T$5,0),MATCH(H115,Lists!$U$2:$Y$2,0)),"Check inputs"))</f>
        <v/>
      </c>
      <c r="J115" s="20"/>
      <c r="K115" s="20"/>
      <c r="L115" s="20"/>
      <c r="M115" s="20"/>
      <c r="N115" s="21"/>
      <c r="O115" s="20"/>
      <c r="P115" s="20"/>
    </row>
    <row r="116" customFormat="false" ht="1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7" t="str">
        <f aca="false">IF(OR(G116="",H116=""),"",IFERROR(INDEX(Lists!$U$3:$Y$5,MATCH(G116,Lists!$T$3:$T$5,0),MATCH(H116,Lists!$U$2:$Y$2,0)),"Check inputs"))</f>
        <v/>
      </c>
      <c r="J116" s="20"/>
      <c r="K116" s="20"/>
      <c r="L116" s="20"/>
      <c r="M116" s="20"/>
      <c r="N116" s="21"/>
      <c r="O116" s="20"/>
      <c r="P116" s="20"/>
    </row>
    <row r="117" customFormat="false" ht="1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7" t="str">
        <f aca="false">IF(OR(G117="",H117=""),"",IFERROR(INDEX(Lists!$U$3:$Y$5,MATCH(G117,Lists!$T$3:$T$5,0),MATCH(H117,Lists!$U$2:$Y$2,0)),"Check inputs"))</f>
        <v/>
      </c>
      <c r="J117" s="20"/>
      <c r="K117" s="20"/>
      <c r="L117" s="20"/>
      <c r="M117" s="20"/>
      <c r="N117" s="21"/>
      <c r="O117" s="20"/>
      <c r="P117" s="20"/>
    </row>
    <row r="118" customFormat="false" ht="1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7" t="str">
        <f aca="false">IF(OR(G118="",H118=""),"",IFERROR(INDEX(Lists!$U$3:$Y$5,MATCH(G118,Lists!$T$3:$T$5,0),MATCH(H118,Lists!$U$2:$Y$2,0)),"Check inputs"))</f>
        <v/>
      </c>
      <c r="J118" s="20"/>
      <c r="K118" s="20"/>
      <c r="L118" s="20"/>
      <c r="M118" s="20"/>
      <c r="N118" s="21"/>
      <c r="O118" s="20"/>
      <c r="P118" s="20"/>
    </row>
    <row r="119" customFormat="false" ht="1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7" t="str">
        <f aca="false">IF(OR(G119="",H119=""),"",IFERROR(INDEX(Lists!$U$3:$Y$5,MATCH(G119,Lists!$T$3:$T$5,0),MATCH(H119,Lists!$U$2:$Y$2,0)),"Check inputs"))</f>
        <v/>
      </c>
      <c r="J119" s="20"/>
      <c r="K119" s="20"/>
      <c r="L119" s="20"/>
      <c r="M119" s="20"/>
      <c r="N119" s="21"/>
      <c r="O119" s="20"/>
      <c r="P119" s="20"/>
    </row>
    <row r="120" customFormat="false" ht="1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7" t="str">
        <f aca="false">IF(OR(G120="",H120=""),"",IFERROR(INDEX(Lists!$U$3:$Y$5,MATCH(G120,Lists!$T$3:$T$5,0),MATCH(H120,Lists!$U$2:$Y$2,0)),"Check inputs"))</f>
        <v/>
      </c>
      <c r="J120" s="20"/>
      <c r="K120" s="20"/>
      <c r="L120" s="20"/>
      <c r="M120" s="20"/>
      <c r="N120" s="21"/>
      <c r="O120" s="20"/>
      <c r="P120" s="20"/>
    </row>
    <row r="121" customFormat="false" ht="1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7" t="str">
        <f aca="false">IF(OR(G121="",H121=""),"",IFERROR(INDEX(Lists!$U$3:$Y$5,MATCH(G121,Lists!$T$3:$T$5,0),MATCH(H121,Lists!$U$2:$Y$2,0)),"Check inputs"))</f>
        <v/>
      </c>
      <c r="J121" s="20"/>
      <c r="K121" s="20"/>
      <c r="L121" s="20"/>
      <c r="M121" s="20"/>
      <c r="N121" s="21"/>
      <c r="O121" s="20"/>
      <c r="P121" s="20"/>
    </row>
    <row r="122" customFormat="false" ht="1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7" t="str">
        <f aca="false">IF(OR(G122="",H122=""),"",IFERROR(INDEX(Lists!$U$3:$Y$5,MATCH(G122,Lists!$T$3:$T$5,0),MATCH(H122,Lists!$U$2:$Y$2,0)),"Check inputs"))</f>
        <v/>
      </c>
      <c r="J122" s="20"/>
      <c r="K122" s="20"/>
      <c r="L122" s="20"/>
      <c r="M122" s="20"/>
      <c r="N122" s="21"/>
      <c r="O122" s="20"/>
      <c r="P122" s="20"/>
    </row>
    <row r="123" customFormat="false" ht="1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7" t="str">
        <f aca="false">IF(OR(G123="",H123=""),"",IFERROR(INDEX(Lists!$U$3:$Y$5,MATCH(G123,Lists!$T$3:$T$5,0),MATCH(H123,Lists!$U$2:$Y$2,0)),"Check inputs"))</f>
        <v/>
      </c>
      <c r="J123" s="20"/>
      <c r="K123" s="20"/>
      <c r="L123" s="20"/>
      <c r="M123" s="20"/>
      <c r="N123" s="21"/>
      <c r="O123" s="20"/>
      <c r="P123" s="20"/>
    </row>
    <row r="124" customFormat="false" ht="1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7" t="str">
        <f aca="false">IF(OR(G124="",H124=""),"",IFERROR(INDEX(Lists!$U$3:$Y$5,MATCH(G124,Lists!$T$3:$T$5,0),MATCH(H124,Lists!$U$2:$Y$2,0)),"Check inputs"))</f>
        <v/>
      </c>
      <c r="J124" s="20"/>
      <c r="K124" s="20"/>
      <c r="L124" s="20"/>
      <c r="M124" s="20"/>
      <c r="N124" s="21"/>
      <c r="O124" s="20"/>
      <c r="P124" s="20"/>
    </row>
    <row r="125" customFormat="false" ht="1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7" t="str">
        <f aca="false">IF(OR(G125="",H125=""),"",IFERROR(INDEX(Lists!$U$3:$Y$5,MATCH(G125,Lists!$T$3:$T$5,0),MATCH(H125,Lists!$U$2:$Y$2,0)),"Check inputs"))</f>
        <v/>
      </c>
      <c r="J125" s="20"/>
      <c r="K125" s="20"/>
      <c r="L125" s="20"/>
      <c r="M125" s="20"/>
      <c r="N125" s="21"/>
      <c r="O125" s="20"/>
      <c r="P125" s="20"/>
    </row>
    <row r="126" customFormat="false" ht="1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7" t="str">
        <f aca="false">IF(OR(G126="",H126=""),"",IFERROR(INDEX(Lists!$U$3:$Y$5,MATCH(G126,Lists!$T$3:$T$5,0),MATCH(H126,Lists!$U$2:$Y$2,0)),"Check inputs"))</f>
        <v/>
      </c>
      <c r="J126" s="20"/>
      <c r="K126" s="20"/>
      <c r="L126" s="20"/>
      <c r="M126" s="20"/>
      <c r="N126" s="21"/>
      <c r="O126" s="20"/>
      <c r="P126" s="20"/>
    </row>
    <row r="127" customFormat="false" ht="1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7" t="str">
        <f aca="false">IF(OR(G127="",H127=""),"",IFERROR(INDEX(Lists!$U$3:$Y$5,MATCH(G127,Lists!$T$3:$T$5,0),MATCH(H127,Lists!$U$2:$Y$2,0)),"Check inputs"))</f>
        <v/>
      </c>
      <c r="J127" s="20"/>
      <c r="K127" s="20"/>
      <c r="L127" s="20"/>
      <c r="M127" s="20"/>
      <c r="N127" s="21"/>
      <c r="O127" s="20"/>
      <c r="P127" s="20"/>
    </row>
    <row r="128" customFormat="false" ht="1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7" t="str">
        <f aca="false">IF(OR(G128="",H128=""),"",IFERROR(INDEX(Lists!$U$3:$Y$5,MATCH(G128,Lists!$T$3:$T$5,0),MATCH(H128,Lists!$U$2:$Y$2,0)),"Check inputs"))</f>
        <v/>
      </c>
      <c r="J128" s="20"/>
      <c r="K128" s="20"/>
      <c r="L128" s="20"/>
      <c r="M128" s="20"/>
      <c r="N128" s="21"/>
      <c r="O128" s="20"/>
      <c r="P128" s="20"/>
    </row>
    <row r="129" customFormat="false" ht="1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7" t="str">
        <f aca="false">IF(OR(G129="",H129=""),"",IFERROR(INDEX(Lists!$U$3:$Y$5,MATCH(G129,Lists!$T$3:$T$5,0),MATCH(H129,Lists!$U$2:$Y$2,0)),"Check inputs"))</f>
        <v/>
      </c>
      <c r="J129" s="20"/>
      <c r="K129" s="20"/>
      <c r="L129" s="20"/>
      <c r="M129" s="20"/>
      <c r="N129" s="21"/>
      <c r="O129" s="20"/>
      <c r="P129" s="20"/>
    </row>
    <row r="130" customFormat="false" ht="1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7" t="str">
        <f aca="false">IF(OR(G130="",H130=""),"",IFERROR(INDEX(Lists!$U$3:$Y$5,MATCH(G130,Lists!$T$3:$T$5,0),MATCH(H130,Lists!$U$2:$Y$2,0)),"Check inputs"))</f>
        <v/>
      </c>
      <c r="J130" s="20"/>
      <c r="K130" s="20"/>
      <c r="L130" s="20"/>
      <c r="M130" s="20"/>
      <c r="N130" s="21"/>
      <c r="O130" s="20"/>
      <c r="P130" s="20"/>
    </row>
    <row r="131" customFormat="false" ht="1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7" t="str">
        <f aca="false">IF(OR(G131="",H131=""),"",IFERROR(INDEX(Lists!$U$3:$Y$5,MATCH(G131,Lists!$T$3:$T$5,0),MATCH(H131,Lists!$U$2:$Y$2,0)),"Check inputs"))</f>
        <v/>
      </c>
      <c r="J131" s="20"/>
      <c r="K131" s="20"/>
      <c r="L131" s="20"/>
      <c r="M131" s="20"/>
      <c r="N131" s="21"/>
      <c r="O131" s="20"/>
      <c r="P131" s="20"/>
    </row>
    <row r="132" customFormat="false" ht="1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7" t="str">
        <f aca="false">IF(OR(G132="",H132=""),"",IFERROR(INDEX(Lists!$U$3:$Y$5,MATCH(G132,Lists!$T$3:$T$5,0),MATCH(H132,Lists!$U$2:$Y$2,0)),"Check inputs"))</f>
        <v/>
      </c>
      <c r="J132" s="20"/>
      <c r="K132" s="20"/>
      <c r="L132" s="20"/>
      <c r="M132" s="20"/>
      <c r="N132" s="21"/>
      <c r="O132" s="20"/>
      <c r="P132" s="20"/>
    </row>
    <row r="133" customFormat="false" ht="1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7" t="str">
        <f aca="false">IF(OR(G133="",H133=""),"",IFERROR(INDEX(Lists!$U$3:$Y$5,MATCH(G133,Lists!$T$3:$T$5,0),MATCH(H133,Lists!$U$2:$Y$2,0)),"Check inputs"))</f>
        <v/>
      </c>
      <c r="J133" s="20"/>
      <c r="K133" s="20"/>
      <c r="L133" s="20"/>
      <c r="M133" s="20"/>
      <c r="N133" s="21"/>
      <c r="O133" s="20"/>
      <c r="P133" s="20"/>
    </row>
    <row r="134" customFormat="false" ht="1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7" t="str">
        <f aca="false">IF(OR(G134="",H134=""),"",IFERROR(INDEX(Lists!$U$3:$Y$5,MATCH(G134,Lists!$T$3:$T$5,0),MATCH(H134,Lists!$U$2:$Y$2,0)),"Check inputs"))</f>
        <v/>
      </c>
      <c r="J134" s="20"/>
      <c r="K134" s="20"/>
      <c r="L134" s="20"/>
      <c r="M134" s="20"/>
      <c r="N134" s="21"/>
      <c r="O134" s="20"/>
      <c r="P134" s="20"/>
    </row>
    <row r="135" customFormat="false" ht="1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7" t="str">
        <f aca="false">IF(OR(G135="",H135=""),"",IFERROR(INDEX(Lists!$U$3:$Y$5,MATCH(G135,Lists!$T$3:$T$5,0),MATCH(H135,Lists!$U$2:$Y$2,0)),"Check inputs"))</f>
        <v/>
      </c>
      <c r="J135" s="20"/>
      <c r="K135" s="20"/>
      <c r="L135" s="20"/>
      <c r="M135" s="20"/>
      <c r="N135" s="21"/>
      <c r="O135" s="20"/>
      <c r="P135" s="20"/>
    </row>
    <row r="136" customFormat="false" ht="1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7" t="str">
        <f aca="false">IF(OR(G136="",H136=""),"",IFERROR(INDEX(Lists!$U$3:$Y$5,MATCH(G136,Lists!$T$3:$T$5,0),MATCH(H136,Lists!$U$2:$Y$2,0)),"Check inputs"))</f>
        <v/>
      </c>
      <c r="J136" s="20"/>
      <c r="K136" s="20"/>
      <c r="L136" s="20"/>
      <c r="M136" s="20"/>
      <c r="N136" s="21"/>
      <c r="O136" s="20"/>
      <c r="P136" s="20"/>
    </row>
    <row r="137" customFormat="false" ht="1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7" t="str">
        <f aca="false">IF(OR(G137="",H137=""),"",IFERROR(INDEX(Lists!$U$3:$Y$5,MATCH(G137,Lists!$T$3:$T$5,0),MATCH(H137,Lists!$U$2:$Y$2,0)),"Check inputs"))</f>
        <v/>
      </c>
      <c r="J137" s="20"/>
      <c r="K137" s="20"/>
      <c r="L137" s="20"/>
      <c r="M137" s="20"/>
      <c r="N137" s="21"/>
      <c r="O137" s="20"/>
      <c r="P137" s="20"/>
    </row>
    <row r="138" customFormat="false" ht="1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7" t="str">
        <f aca="false">IF(OR(G138="",H138=""),"",IFERROR(INDEX(Lists!$U$3:$Y$5,MATCH(G138,Lists!$T$3:$T$5,0),MATCH(H138,Lists!$U$2:$Y$2,0)),"Check inputs"))</f>
        <v/>
      </c>
      <c r="J138" s="20"/>
      <c r="K138" s="20"/>
      <c r="L138" s="20"/>
      <c r="M138" s="20"/>
      <c r="N138" s="21"/>
      <c r="O138" s="20"/>
      <c r="P138" s="20"/>
    </row>
    <row r="139" customFormat="false" ht="1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7" t="str">
        <f aca="false">IF(OR(G139="",H139=""),"",IFERROR(INDEX(Lists!$U$3:$Y$5,MATCH(G139,Lists!$T$3:$T$5,0),MATCH(H139,Lists!$U$2:$Y$2,0)),"Check inputs"))</f>
        <v/>
      </c>
      <c r="J139" s="20"/>
      <c r="K139" s="20"/>
      <c r="L139" s="20"/>
      <c r="M139" s="20"/>
      <c r="N139" s="21"/>
      <c r="O139" s="20"/>
      <c r="P139" s="20"/>
    </row>
    <row r="140" customFormat="false" ht="1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7" t="str">
        <f aca="false">IF(OR(G140="",H140=""),"",IFERROR(INDEX(Lists!$U$3:$Y$5,MATCH(G140,Lists!$T$3:$T$5,0),MATCH(H140,Lists!$U$2:$Y$2,0)),"Check inputs"))</f>
        <v/>
      </c>
      <c r="J140" s="20"/>
      <c r="K140" s="20"/>
      <c r="L140" s="20"/>
      <c r="M140" s="20"/>
      <c r="N140" s="21"/>
      <c r="O140" s="20"/>
      <c r="P140" s="20"/>
    </row>
    <row r="141" customFormat="false" ht="1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7" t="str">
        <f aca="false">IF(OR(G141="",H141=""),"",IFERROR(INDEX(Lists!$U$3:$Y$5,MATCH(G141,Lists!$T$3:$T$5,0),MATCH(H141,Lists!$U$2:$Y$2,0)),"Check inputs"))</f>
        <v/>
      </c>
      <c r="J141" s="20"/>
      <c r="K141" s="20"/>
      <c r="L141" s="20"/>
      <c r="M141" s="20"/>
      <c r="N141" s="21"/>
      <c r="O141" s="20"/>
      <c r="P141" s="20"/>
    </row>
    <row r="142" customFormat="false" ht="1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7" t="str">
        <f aca="false">IF(OR(G142="",H142=""),"",IFERROR(INDEX(Lists!$U$3:$Y$5,MATCH(G142,Lists!$T$3:$T$5,0),MATCH(H142,Lists!$U$2:$Y$2,0)),"Check inputs"))</f>
        <v/>
      </c>
      <c r="J142" s="20"/>
      <c r="K142" s="20"/>
      <c r="L142" s="20"/>
      <c r="M142" s="20"/>
      <c r="N142" s="21"/>
      <c r="O142" s="20"/>
      <c r="P142" s="20"/>
    </row>
    <row r="143" customFormat="false" ht="1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7" t="str">
        <f aca="false">IF(OR(G143="",H143=""),"",IFERROR(INDEX(Lists!$U$3:$Y$5,MATCH(G143,Lists!$T$3:$T$5,0),MATCH(H143,Lists!$U$2:$Y$2,0)),"Check inputs"))</f>
        <v/>
      </c>
      <c r="J143" s="20"/>
      <c r="K143" s="20"/>
      <c r="L143" s="20"/>
      <c r="M143" s="20"/>
      <c r="N143" s="21"/>
      <c r="O143" s="20"/>
      <c r="P143" s="20"/>
    </row>
    <row r="144" customFormat="false" ht="1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7" t="str">
        <f aca="false">IF(OR(G144="",H144=""),"",IFERROR(INDEX(Lists!$U$3:$Y$5,MATCH(G144,Lists!$T$3:$T$5,0),MATCH(H144,Lists!$U$2:$Y$2,0)),"Check inputs"))</f>
        <v/>
      </c>
      <c r="J144" s="20"/>
      <c r="K144" s="20"/>
      <c r="L144" s="20"/>
      <c r="M144" s="20"/>
      <c r="N144" s="21"/>
      <c r="O144" s="20"/>
      <c r="P144" s="20"/>
    </row>
    <row r="145" customFormat="false" ht="1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7" t="str">
        <f aca="false">IF(OR(G145="",H145=""),"",IFERROR(INDEX(Lists!$U$3:$Y$5,MATCH(G145,Lists!$T$3:$T$5,0),MATCH(H145,Lists!$U$2:$Y$2,0)),"Check inputs"))</f>
        <v/>
      </c>
      <c r="J145" s="20"/>
      <c r="K145" s="20"/>
      <c r="L145" s="20"/>
      <c r="M145" s="20"/>
      <c r="N145" s="21"/>
      <c r="O145" s="20"/>
      <c r="P145" s="20"/>
    </row>
    <row r="146" customFormat="false" ht="1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7" t="str">
        <f aca="false">IF(OR(G146="",H146=""),"",IFERROR(INDEX(Lists!$U$3:$Y$5,MATCH(G146,Lists!$T$3:$T$5,0),MATCH(H146,Lists!$U$2:$Y$2,0)),"Check inputs"))</f>
        <v/>
      </c>
      <c r="J146" s="20"/>
      <c r="K146" s="20"/>
      <c r="L146" s="20"/>
      <c r="M146" s="20"/>
      <c r="N146" s="21"/>
      <c r="O146" s="20"/>
      <c r="P146" s="20"/>
    </row>
    <row r="147" customFormat="false" ht="1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7" t="str">
        <f aca="false">IF(OR(G147="",H147=""),"",IFERROR(INDEX(Lists!$U$3:$Y$5,MATCH(G147,Lists!$T$3:$T$5,0),MATCH(H147,Lists!$U$2:$Y$2,0)),"Check inputs"))</f>
        <v/>
      </c>
      <c r="J147" s="20"/>
      <c r="K147" s="20"/>
      <c r="L147" s="20"/>
      <c r="M147" s="20"/>
      <c r="N147" s="21"/>
      <c r="O147" s="20"/>
      <c r="P147" s="20"/>
    </row>
    <row r="148" customFormat="false" ht="1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7" t="str">
        <f aca="false">IF(OR(G148="",H148=""),"",IFERROR(INDEX(Lists!$U$3:$Y$5,MATCH(G148,Lists!$T$3:$T$5,0),MATCH(H148,Lists!$U$2:$Y$2,0)),"Check inputs"))</f>
        <v/>
      </c>
      <c r="J148" s="20"/>
      <c r="K148" s="20"/>
      <c r="L148" s="20"/>
      <c r="M148" s="20"/>
      <c r="N148" s="21"/>
      <c r="O148" s="20"/>
      <c r="P148" s="20"/>
    </row>
    <row r="149" customFormat="false" ht="1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7" t="str">
        <f aca="false">IF(OR(G149="",H149=""),"",IFERROR(INDEX(Lists!$U$3:$Y$5,MATCH(G149,Lists!$T$3:$T$5,0),MATCH(H149,Lists!$U$2:$Y$2,0)),"Check inputs"))</f>
        <v/>
      </c>
      <c r="J149" s="20"/>
      <c r="K149" s="20"/>
      <c r="L149" s="20"/>
      <c r="M149" s="20"/>
      <c r="N149" s="21"/>
      <c r="O149" s="20"/>
      <c r="P149" s="20"/>
    </row>
    <row r="150" customFormat="false" ht="1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7" t="str">
        <f aca="false">IF(OR(G150="",H150=""),"",IFERROR(INDEX(Lists!$U$3:$Y$5,MATCH(G150,Lists!$T$3:$T$5,0),MATCH(H150,Lists!$U$2:$Y$2,0)),"Check inputs"))</f>
        <v/>
      </c>
      <c r="J150" s="20"/>
      <c r="K150" s="20"/>
      <c r="L150" s="20"/>
      <c r="M150" s="20"/>
      <c r="N150" s="21"/>
      <c r="O150" s="20"/>
      <c r="P150" s="20"/>
    </row>
    <row r="151" customFormat="false" ht="1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7" t="str">
        <f aca="false">IF(OR(G151="",H151=""),"",IFERROR(INDEX(Lists!$U$3:$Y$5,MATCH(G151,Lists!$T$3:$T$5,0),MATCH(H151,Lists!$U$2:$Y$2,0)),"Check inputs"))</f>
        <v/>
      </c>
      <c r="J151" s="20"/>
      <c r="K151" s="20"/>
      <c r="L151" s="20"/>
      <c r="M151" s="20"/>
      <c r="N151" s="21"/>
      <c r="O151" s="20"/>
      <c r="P151" s="20"/>
    </row>
    <row r="152" customFormat="false" ht="1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7" t="str">
        <f aca="false">IF(OR(G152="",H152=""),"",IFERROR(INDEX(Lists!$U$3:$Y$5,MATCH(G152,Lists!$T$3:$T$5,0),MATCH(H152,Lists!$U$2:$Y$2,0)),"Check inputs"))</f>
        <v/>
      </c>
      <c r="J152" s="20"/>
      <c r="K152" s="20"/>
      <c r="L152" s="20"/>
      <c r="M152" s="20"/>
      <c r="N152" s="21"/>
      <c r="O152" s="20"/>
      <c r="P152" s="20"/>
    </row>
    <row r="153" customFormat="false" ht="1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7" t="str">
        <f aca="false">IF(OR(G153="",H153=""),"",IFERROR(INDEX(Lists!$U$3:$Y$5,MATCH(G153,Lists!$T$3:$T$5,0),MATCH(H153,Lists!$U$2:$Y$2,0)),"Check inputs"))</f>
        <v/>
      </c>
      <c r="J153" s="20"/>
      <c r="K153" s="20"/>
      <c r="L153" s="20"/>
      <c r="M153" s="20"/>
      <c r="N153" s="21"/>
      <c r="O153" s="20"/>
      <c r="P153" s="20"/>
    </row>
    <row r="154" customFormat="false" ht="1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7" t="str">
        <f aca="false">IF(OR(G154="",H154=""),"",IFERROR(INDEX(Lists!$U$3:$Y$5,MATCH(G154,Lists!$T$3:$T$5,0),MATCH(H154,Lists!$U$2:$Y$2,0)),"Check inputs"))</f>
        <v/>
      </c>
      <c r="J154" s="20"/>
      <c r="K154" s="20"/>
      <c r="L154" s="20"/>
      <c r="M154" s="20"/>
      <c r="N154" s="21"/>
      <c r="O154" s="20"/>
      <c r="P154" s="20"/>
    </row>
    <row r="155" customFormat="false" ht="1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7" t="str">
        <f aca="false">IF(OR(G155="",H155=""),"",IFERROR(INDEX(Lists!$U$3:$Y$5,MATCH(G155,Lists!$T$3:$T$5,0),MATCH(H155,Lists!$U$2:$Y$2,0)),"Check inputs"))</f>
        <v/>
      </c>
      <c r="J155" s="20"/>
      <c r="K155" s="20"/>
      <c r="L155" s="20"/>
      <c r="M155" s="20"/>
      <c r="N155" s="21"/>
      <c r="O155" s="20"/>
      <c r="P155" s="20"/>
    </row>
    <row r="156" customFormat="false" ht="1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7" t="str">
        <f aca="false">IF(OR(G156="",H156=""),"",IFERROR(INDEX(Lists!$U$3:$Y$5,MATCH(G156,Lists!$T$3:$T$5,0),MATCH(H156,Lists!$U$2:$Y$2,0)),"Check inputs"))</f>
        <v/>
      </c>
      <c r="J156" s="20"/>
      <c r="K156" s="20"/>
      <c r="L156" s="20"/>
      <c r="M156" s="20"/>
      <c r="N156" s="21"/>
      <c r="O156" s="20"/>
      <c r="P156" s="20"/>
    </row>
    <row r="157" customFormat="false" ht="1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7" t="str">
        <f aca="false">IF(OR(G157="",H157=""),"",IFERROR(INDEX(Lists!$U$3:$Y$5,MATCH(G157,Lists!$T$3:$T$5,0),MATCH(H157,Lists!$U$2:$Y$2,0)),"Check inputs"))</f>
        <v/>
      </c>
      <c r="J157" s="20"/>
      <c r="K157" s="20"/>
      <c r="L157" s="20"/>
      <c r="M157" s="20"/>
      <c r="N157" s="21"/>
      <c r="O157" s="20"/>
      <c r="P157" s="20"/>
    </row>
    <row r="158" customFormat="false" ht="1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7" t="str">
        <f aca="false">IF(OR(G158="",H158=""),"",IFERROR(INDEX(Lists!$U$3:$Y$5,MATCH(G158,Lists!$T$3:$T$5,0),MATCH(H158,Lists!$U$2:$Y$2,0)),"Check inputs"))</f>
        <v/>
      </c>
      <c r="J158" s="20"/>
      <c r="K158" s="20"/>
      <c r="L158" s="20"/>
      <c r="M158" s="20"/>
      <c r="N158" s="21"/>
      <c r="O158" s="20"/>
      <c r="P158" s="20"/>
    </row>
    <row r="159" customFormat="false" ht="1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7" t="str">
        <f aca="false">IF(OR(G159="",H159=""),"",IFERROR(INDEX(Lists!$U$3:$Y$5,MATCH(G159,Lists!$T$3:$T$5,0),MATCH(H159,Lists!$U$2:$Y$2,0)),"Check inputs"))</f>
        <v/>
      </c>
      <c r="J159" s="20"/>
      <c r="K159" s="20"/>
      <c r="L159" s="20"/>
      <c r="M159" s="20"/>
      <c r="N159" s="21"/>
      <c r="O159" s="20"/>
      <c r="P159" s="20"/>
    </row>
    <row r="160" customFormat="false" ht="1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7" t="str">
        <f aca="false">IF(OR(G160="",H160=""),"",IFERROR(INDEX(Lists!$U$3:$Y$5,MATCH(G160,Lists!$T$3:$T$5,0),MATCH(H160,Lists!$U$2:$Y$2,0)),"Check inputs"))</f>
        <v/>
      </c>
      <c r="J160" s="20"/>
      <c r="K160" s="20"/>
      <c r="L160" s="20"/>
      <c r="M160" s="20"/>
      <c r="N160" s="21"/>
      <c r="O160" s="20"/>
      <c r="P160" s="20"/>
    </row>
    <row r="161" customFormat="false" ht="1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7" t="str">
        <f aca="false">IF(OR(G161="",H161=""),"",IFERROR(INDEX(Lists!$U$3:$Y$5,MATCH(G161,Lists!$T$3:$T$5,0),MATCH(H161,Lists!$U$2:$Y$2,0)),"Check inputs"))</f>
        <v/>
      </c>
      <c r="J161" s="20"/>
      <c r="K161" s="20"/>
      <c r="L161" s="20"/>
      <c r="M161" s="20"/>
      <c r="N161" s="21"/>
      <c r="O161" s="20"/>
      <c r="P161" s="20"/>
    </row>
    <row r="162" customFormat="false" ht="1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7" t="str">
        <f aca="false">IF(OR(G162="",H162=""),"",IFERROR(INDEX(Lists!$U$3:$Y$5,MATCH(G162,Lists!$T$3:$T$5,0),MATCH(H162,Lists!$U$2:$Y$2,0)),"Check inputs"))</f>
        <v/>
      </c>
      <c r="J162" s="20"/>
      <c r="K162" s="20"/>
      <c r="L162" s="20"/>
      <c r="M162" s="20"/>
      <c r="N162" s="21"/>
      <c r="O162" s="20"/>
      <c r="P162" s="20"/>
    </row>
    <row r="163" customFormat="false" ht="1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7" t="str">
        <f aca="false">IF(OR(G163="",H163=""),"",IFERROR(INDEX(Lists!$U$3:$Y$5,MATCH(G163,Lists!$T$3:$T$5,0),MATCH(H163,Lists!$U$2:$Y$2,0)),"Check inputs"))</f>
        <v/>
      </c>
      <c r="J163" s="20"/>
      <c r="K163" s="20"/>
      <c r="L163" s="20"/>
      <c r="M163" s="20"/>
      <c r="N163" s="21"/>
      <c r="O163" s="20"/>
      <c r="P163" s="20"/>
    </row>
    <row r="164" customFormat="false" ht="1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7" t="str">
        <f aca="false">IF(OR(G164="",H164=""),"",IFERROR(INDEX(Lists!$U$3:$Y$5,MATCH(G164,Lists!$T$3:$T$5,0),MATCH(H164,Lists!$U$2:$Y$2,0)),"Check inputs"))</f>
        <v/>
      </c>
      <c r="J164" s="20"/>
      <c r="K164" s="20"/>
      <c r="L164" s="20"/>
      <c r="M164" s="20"/>
      <c r="N164" s="21"/>
      <c r="O164" s="20"/>
      <c r="P164" s="20"/>
    </row>
    <row r="165" customFormat="false" ht="1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7" t="str">
        <f aca="false">IF(OR(G165="",H165=""),"",IFERROR(INDEX(Lists!$U$3:$Y$5,MATCH(G165,Lists!$T$3:$T$5,0),MATCH(H165,Lists!$U$2:$Y$2,0)),"Check inputs"))</f>
        <v/>
      </c>
      <c r="J165" s="20"/>
      <c r="K165" s="20"/>
      <c r="L165" s="20"/>
      <c r="M165" s="20"/>
      <c r="N165" s="21"/>
      <c r="O165" s="20"/>
      <c r="P165" s="20"/>
    </row>
    <row r="166" customFormat="false" ht="1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7" t="str">
        <f aca="false">IF(OR(G166="",H166=""),"",IFERROR(INDEX(Lists!$U$3:$Y$5,MATCH(G166,Lists!$T$3:$T$5,0),MATCH(H166,Lists!$U$2:$Y$2,0)),"Check inputs"))</f>
        <v/>
      </c>
      <c r="J166" s="20"/>
      <c r="K166" s="20"/>
      <c r="L166" s="20"/>
      <c r="M166" s="20"/>
      <c r="N166" s="21"/>
      <c r="O166" s="20"/>
      <c r="P166" s="20"/>
    </row>
    <row r="167" customFormat="false" ht="1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7" t="str">
        <f aca="false">IF(OR(G167="",H167=""),"",IFERROR(INDEX(Lists!$U$3:$Y$5,MATCH(G167,Lists!$T$3:$T$5,0),MATCH(H167,Lists!$U$2:$Y$2,0)),"Check inputs"))</f>
        <v/>
      </c>
      <c r="J167" s="20"/>
      <c r="K167" s="20"/>
      <c r="L167" s="20"/>
      <c r="M167" s="20"/>
      <c r="N167" s="21"/>
      <c r="O167" s="20"/>
      <c r="P167" s="20"/>
    </row>
    <row r="168" customFormat="false" ht="1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7" t="str">
        <f aca="false">IF(OR(G168="",H168=""),"",IFERROR(INDEX(Lists!$U$3:$Y$5,MATCH(G168,Lists!$T$3:$T$5,0),MATCH(H168,Lists!$U$2:$Y$2,0)),"Check inputs"))</f>
        <v/>
      </c>
      <c r="J168" s="20"/>
      <c r="K168" s="20"/>
      <c r="L168" s="20"/>
      <c r="M168" s="20"/>
      <c r="N168" s="21"/>
      <c r="O168" s="20"/>
      <c r="P168" s="20"/>
    </row>
    <row r="169" customFormat="false" ht="1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7" t="str">
        <f aca="false">IF(OR(G169="",H169=""),"",IFERROR(INDEX(Lists!$U$3:$Y$5,MATCH(G169,Lists!$T$3:$T$5,0),MATCH(H169,Lists!$U$2:$Y$2,0)),"Check inputs"))</f>
        <v/>
      </c>
      <c r="J169" s="20"/>
      <c r="K169" s="20"/>
      <c r="L169" s="20"/>
      <c r="M169" s="20"/>
      <c r="N169" s="21"/>
      <c r="O169" s="20"/>
      <c r="P169" s="20"/>
    </row>
    <row r="170" customFormat="false" ht="1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7" t="str">
        <f aca="false">IF(OR(G170="",H170=""),"",IFERROR(INDEX(Lists!$U$3:$Y$5,MATCH(G170,Lists!$T$3:$T$5,0),MATCH(H170,Lists!$U$2:$Y$2,0)),"Check inputs"))</f>
        <v/>
      </c>
      <c r="J170" s="20"/>
      <c r="K170" s="20"/>
      <c r="L170" s="20"/>
      <c r="M170" s="20"/>
      <c r="N170" s="21"/>
      <c r="O170" s="20"/>
      <c r="P170" s="20"/>
    </row>
    <row r="171" customFormat="false" ht="1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7" t="str">
        <f aca="false">IF(OR(G171="",H171=""),"",IFERROR(INDEX(Lists!$U$3:$Y$5,MATCH(G171,Lists!$T$3:$T$5,0),MATCH(H171,Lists!$U$2:$Y$2,0)),"Check inputs"))</f>
        <v/>
      </c>
      <c r="J171" s="20"/>
      <c r="K171" s="20"/>
      <c r="L171" s="20"/>
      <c r="M171" s="20"/>
      <c r="N171" s="21"/>
      <c r="O171" s="20"/>
      <c r="P171" s="20"/>
    </row>
    <row r="172" customFormat="false" ht="1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7" t="str">
        <f aca="false">IF(OR(G172="",H172=""),"",IFERROR(INDEX(Lists!$U$3:$Y$5,MATCH(G172,Lists!$T$3:$T$5,0),MATCH(H172,Lists!$U$2:$Y$2,0)),"Check inputs"))</f>
        <v/>
      </c>
      <c r="J172" s="20"/>
      <c r="K172" s="20"/>
      <c r="L172" s="20"/>
      <c r="M172" s="20"/>
      <c r="N172" s="21"/>
      <c r="O172" s="20"/>
      <c r="P172" s="20"/>
    </row>
    <row r="173" customFormat="false" ht="1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7" t="str">
        <f aca="false">IF(OR(G173="",H173=""),"",IFERROR(INDEX(Lists!$U$3:$Y$5,MATCH(G173,Lists!$T$3:$T$5,0),MATCH(H173,Lists!$U$2:$Y$2,0)),"Check inputs"))</f>
        <v/>
      </c>
      <c r="J173" s="20"/>
      <c r="K173" s="20"/>
      <c r="L173" s="20"/>
      <c r="M173" s="20"/>
      <c r="N173" s="21"/>
      <c r="O173" s="20"/>
      <c r="P173" s="20"/>
    </row>
    <row r="174" customFormat="false" ht="1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7" t="str">
        <f aca="false">IF(OR(G174="",H174=""),"",IFERROR(INDEX(Lists!$U$3:$Y$5,MATCH(G174,Lists!$T$3:$T$5,0),MATCH(H174,Lists!$U$2:$Y$2,0)),"Check inputs"))</f>
        <v/>
      </c>
      <c r="J174" s="20"/>
      <c r="K174" s="20"/>
      <c r="L174" s="20"/>
      <c r="M174" s="20"/>
      <c r="N174" s="21"/>
      <c r="O174" s="20"/>
      <c r="P174" s="20"/>
    </row>
    <row r="175" customFormat="false" ht="1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7" t="str">
        <f aca="false">IF(OR(G175="",H175=""),"",IFERROR(INDEX(Lists!$U$3:$Y$5,MATCH(G175,Lists!$T$3:$T$5,0),MATCH(H175,Lists!$U$2:$Y$2,0)),"Check inputs"))</f>
        <v/>
      </c>
      <c r="J175" s="20"/>
      <c r="K175" s="20"/>
      <c r="L175" s="20"/>
      <c r="M175" s="20"/>
      <c r="N175" s="21"/>
      <c r="O175" s="20"/>
      <c r="P175" s="20"/>
    </row>
    <row r="176" customFormat="false" ht="1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7" t="str">
        <f aca="false">IF(OR(G176="",H176=""),"",IFERROR(INDEX(Lists!$U$3:$Y$5,MATCH(G176,Lists!$T$3:$T$5,0),MATCH(H176,Lists!$U$2:$Y$2,0)),"Check inputs"))</f>
        <v/>
      </c>
      <c r="J176" s="20"/>
      <c r="K176" s="20"/>
      <c r="L176" s="20"/>
      <c r="M176" s="20"/>
      <c r="N176" s="21"/>
      <c r="O176" s="20"/>
      <c r="P176" s="20"/>
    </row>
    <row r="177" customFormat="false" ht="1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7" t="str">
        <f aca="false">IF(OR(G177="",H177=""),"",IFERROR(INDEX(Lists!$U$3:$Y$5,MATCH(G177,Lists!$T$3:$T$5,0),MATCH(H177,Lists!$U$2:$Y$2,0)),"Check inputs"))</f>
        <v/>
      </c>
      <c r="J177" s="20"/>
      <c r="K177" s="20"/>
      <c r="L177" s="20"/>
      <c r="M177" s="20"/>
      <c r="N177" s="21"/>
      <c r="O177" s="20"/>
      <c r="P177" s="20"/>
    </row>
    <row r="178" customFormat="false" ht="1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7" t="str">
        <f aca="false">IF(OR(G178="",H178=""),"",IFERROR(INDEX(Lists!$U$3:$Y$5,MATCH(G178,Lists!$T$3:$T$5,0),MATCH(H178,Lists!$U$2:$Y$2,0)),"Check inputs"))</f>
        <v/>
      </c>
      <c r="J178" s="20"/>
      <c r="K178" s="20"/>
      <c r="L178" s="20"/>
      <c r="M178" s="20"/>
      <c r="N178" s="21"/>
      <c r="O178" s="20"/>
      <c r="P178" s="20"/>
    </row>
    <row r="179" customFormat="false" ht="1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7" t="str">
        <f aca="false">IF(OR(G179="",H179=""),"",IFERROR(INDEX(Lists!$U$3:$Y$5,MATCH(G179,Lists!$T$3:$T$5,0),MATCH(H179,Lists!$U$2:$Y$2,0)),"Check inputs"))</f>
        <v/>
      </c>
      <c r="J179" s="20"/>
      <c r="K179" s="20"/>
      <c r="L179" s="20"/>
      <c r="M179" s="20"/>
      <c r="N179" s="21"/>
      <c r="O179" s="20"/>
      <c r="P179" s="20"/>
    </row>
    <row r="180" customFormat="false" ht="1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7" t="str">
        <f aca="false">IF(OR(G180="",H180=""),"",IFERROR(INDEX(Lists!$U$3:$Y$5,MATCH(G180,Lists!$T$3:$T$5,0),MATCH(H180,Lists!$U$2:$Y$2,0)),"Check inputs"))</f>
        <v/>
      </c>
      <c r="J180" s="20"/>
      <c r="K180" s="20"/>
      <c r="L180" s="20"/>
      <c r="M180" s="20"/>
      <c r="N180" s="21"/>
      <c r="O180" s="20"/>
      <c r="P180" s="20"/>
    </row>
    <row r="181" customFormat="false" ht="1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7" t="str">
        <f aca="false">IF(OR(G181="",H181=""),"",IFERROR(INDEX(Lists!$U$3:$Y$5,MATCH(G181,Lists!$T$3:$T$5,0),MATCH(H181,Lists!$U$2:$Y$2,0)),"Check inputs"))</f>
        <v/>
      </c>
      <c r="J181" s="20"/>
      <c r="K181" s="20"/>
      <c r="L181" s="20"/>
      <c r="M181" s="20"/>
      <c r="N181" s="21"/>
      <c r="O181" s="20"/>
      <c r="P181" s="20"/>
    </row>
    <row r="182" customFormat="false" ht="1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7" t="str">
        <f aca="false">IF(OR(G182="",H182=""),"",IFERROR(INDEX(Lists!$U$3:$Y$5,MATCH(G182,Lists!$T$3:$T$5,0),MATCH(H182,Lists!$U$2:$Y$2,0)),"Check inputs"))</f>
        <v/>
      </c>
      <c r="J182" s="20"/>
      <c r="K182" s="20"/>
      <c r="L182" s="20"/>
      <c r="M182" s="20"/>
      <c r="N182" s="21"/>
      <c r="O182" s="20"/>
      <c r="P182" s="20"/>
    </row>
    <row r="183" customFormat="false" ht="1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7" t="str">
        <f aca="false">IF(OR(G183="",H183=""),"",IFERROR(INDEX(Lists!$U$3:$Y$5,MATCH(G183,Lists!$T$3:$T$5,0),MATCH(H183,Lists!$U$2:$Y$2,0)),"Check inputs"))</f>
        <v/>
      </c>
      <c r="J183" s="20"/>
      <c r="K183" s="20"/>
      <c r="L183" s="20"/>
      <c r="M183" s="20"/>
      <c r="N183" s="21"/>
      <c r="O183" s="20"/>
      <c r="P183" s="20"/>
    </row>
    <row r="184" customFormat="false" ht="1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7" t="str">
        <f aca="false">IF(OR(G184="",H184=""),"",IFERROR(INDEX(Lists!$U$3:$Y$5,MATCH(G184,Lists!$T$3:$T$5,0),MATCH(H184,Lists!$U$2:$Y$2,0)),"Check inputs"))</f>
        <v/>
      </c>
      <c r="J184" s="20"/>
      <c r="K184" s="20"/>
      <c r="L184" s="20"/>
      <c r="M184" s="20"/>
      <c r="N184" s="21"/>
      <c r="O184" s="20"/>
      <c r="P184" s="20"/>
    </row>
    <row r="185" customFormat="false" ht="1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7" t="str">
        <f aca="false">IF(OR(G185="",H185=""),"",IFERROR(INDEX(Lists!$U$3:$Y$5,MATCH(G185,Lists!$T$3:$T$5,0),MATCH(H185,Lists!$U$2:$Y$2,0)),"Check inputs"))</f>
        <v/>
      </c>
      <c r="J185" s="20"/>
      <c r="K185" s="20"/>
      <c r="L185" s="20"/>
      <c r="M185" s="20"/>
      <c r="N185" s="21"/>
      <c r="O185" s="20"/>
      <c r="P185" s="20"/>
    </row>
    <row r="186" customFormat="false" ht="1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7" t="str">
        <f aca="false">IF(OR(G186="",H186=""),"",IFERROR(INDEX(Lists!$U$3:$Y$5,MATCH(G186,Lists!$T$3:$T$5,0),MATCH(H186,Lists!$U$2:$Y$2,0)),"Check inputs"))</f>
        <v/>
      </c>
      <c r="J186" s="20"/>
      <c r="K186" s="20"/>
      <c r="L186" s="20"/>
      <c r="M186" s="20"/>
      <c r="N186" s="21"/>
      <c r="O186" s="20"/>
      <c r="P186" s="20"/>
    </row>
    <row r="187" customFormat="false" ht="1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7" t="str">
        <f aca="false">IF(OR(G187="",H187=""),"",IFERROR(INDEX(Lists!$U$3:$Y$5,MATCH(G187,Lists!$T$3:$T$5,0),MATCH(H187,Lists!$U$2:$Y$2,0)),"Check inputs"))</f>
        <v/>
      </c>
      <c r="J187" s="20"/>
      <c r="K187" s="20"/>
      <c r="L187" s="20"/>
      <c r="M187" s="20"/>
      <c r="N187" s="21"/>
      <c r="O187" s="20"/>
      <c r="P187" s="20"/>
    </row>
    <row r="188" customFormat="false" ht="1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7" t="str">
        <f aca="false">IF(OR(G188="",H188=""),"",IFERROR(INDEX(Lists!$U$3:$Y$5,MATCH(G188,Lists!$T$3:$T$5,0),MATCH(H188,Lists!$U$2:$Y$2,0)),"Check inputs"))</f>
        <v/>
      </c>
      <c r="J188" s="20"/>
      <c r="K188" s="20"/>
      <c r="L188" s="20"/>
      <c r="M188" s="20"/>
      <c r="N188" s="21"/>
      <c r="O188" s="20"/>
      <c r="P188" s="20"/>
    </row>
    <row r="189" customFormat="false" ht="1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7" t="str">
        <f aca="false">IF(OR(G189="",H189=""),"",IFERROR(INDEX(Lists!$U$3:$Y$5,MATCH(G189,Lists!$T$3:$T$5,0),MATCH(H189,Lists!$U$2:$Y$2,0)),"Check inputs"))</f>
        <v/>
      </c>
      <c r="J189" s="20"/>
      <c r="K189" s="20"/>
      <c r="L189" s="20"/>
      <c r="M189" s="20"/>
      <c r="N189" s="21"/>
      <c r="O189" s="20"/>
      <c r="P189" s="20"/>
    </row>
    <row r="190" customFormat="false" ht="1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7" t="str">
        <f aca="false">IF(OR(G190="",H190=""),"",IFERROR(INDEX(Lists!$U$3:$Y$5,MATCH(G190,Lists!$T$3:$T$5,0),MATCH(H190,Lists!$U$2:$Y$2,0)),"Check inputs"))</f>
        <v/>
      </c>
      <c r="J190" s="20"/>
      <c r="K190" s="20"/>
      <c r="L190" s="20"/>
      <c r="M190" s="20"/>
      <c r="N190" s="21"/>
      <c r="O190" s="20"/>
      <c r="P190" s="20"/>
    </row>
    <row r="191" customFormat="false" ht="1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7" t="str">
        <f aca="false">IF(OR(G191="",H191=""),"",IFERROR(INDEX(Lists!$U$3:$Y$5,MATCH(G191,Lists!$T$3:$T$5,0),MATCH(H191,Lists!$U$2:$Y$2,0)),"Check inputs"))</f>
        <v/>
      </c>
      <c r="J191" s="20"/>
      <c r="K191" s="20"/>
      <c r="L191" s="20"/>
      <c r="M191" s="20"/>
      <c r="N191" s="21"/>
      <c r="O191" s="20"/>
      <c r="P191" s="20"/>
    </row>
    <row r="192" customFormat="false" ht="1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7" t="str">
        <f aca="false">IF(OR(G192="",H192=""),"",IFERROR(INDEX(Lists!$U$3:$Y$5,MATCH(G192,Lists!$T$3:$T$5,0),MATCH(H192,Lists!$U$2:$Y$2,0)),"Check inputs"))</f>
        <v/>
      </c>
      <c r="J192" s="20"/>
      <c r="K192" s="20"/>
      <c r="L192" s="20"/>
      <c r="M192" s="20"/>
      <c r="N192" s="21"/>
      <c r="O192" s="20"/>
      <c r="P192" s="20"/>
    </row>
    <row r="193" customFormat="false" ht="1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7" t="str">
        <f aca="false">IF(OR(G193="",H193=""),"",IFERROR(INDEX(Lists!$U$3:$Y$5,MATCH(G193,Lists!$T$3:$T$5,0),MATCH(H193,Lists!$U$2:$Y$2,0)),"Check inputs"))</f>
        <v/>
      </c>
      <c r="J193" s="20"/>
      <c r="K193" s="20"/>
      <c r="L193" s="20"/>
      <c r="M193" s="20"/>
      <c r="N193" s="21"/>
      <c r="O193" s="20"/>
      <c r="P193" s="20"/>
    </row>
    <row r="194" customFormat="false" ht="1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7" t="str">
        <f aca="false">IF(OR(G194="",H194=""),"",IFERROR(INDEX(Lists!$U$3:$Y$5,MATCH(G194,Lists!$T$3:$T$5,0),MATCH(H194,Lists!$U$2:$Y$2,0)),"Check inputs"))</f>
        <v/>
      </c>
      <c r="J194" s="20"/>
      <c r="K194" s="20"/>
      <c r="L194" s="20"/>
      <c r="M194" s="20"/>
      <c r="N194" s="21"/>
      <c r="O194" s="20"/>
      <c r="P194" s="20"/>
    </row>
    <row r="195" customFormat="false" ht="1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7" t="str">
        <f aca="false">IF(OR(G195="",H195=""),"",IFERROR(INDEX(Lists!$U$3:$Y$5,MATCH(G195,Lists!$T$3:$T$5,0),MATCH(H195,Lists!$U$2:$Y$2,0)),"Check inputs"))</f>
        <v/>
      </c>
      <c r="J195" s="20"/>
      <c r="K195" s="20"/>
      <c r="L195" s="20"/>
      <c r="M195" s="20"/>
      <c r="N195" s="21"/>
      <c r="O195" s="20"/>
      <c r="P195" s="20"/>
    </row>
    <row r="196" customFormat="false" ht="1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7" t="str">
        <f aca="false">IF(OR(G196="",H196=""),"",IFERROR(INDEX(Lists!$U$3:$Y$5,MATCH(G196,Lists!$T$3:$T$5,0),MATCH(H196,Lists!$U$2:$Y$2,0)),"Check inputs"))</f>
        <v/>
      </c>
      <c r="J196" s="20"/>
      <c r="K196" s="20"/>
      <c r="L196" s="20"/>
      <c r="M196" s="20"/>
      <c r="N196" s="21"/>
      <c r="O196" s="20"/>
      <c r="P196" s="20"/>
    </row>
    <row r="197" customFormat="false" ht="1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7" t="str">
        <f aca="false">IF(OR(G197="",H197=""),"",IFERROR(INDEX(Lists!$U$3:$Y$5,MATCH(G197,Lists!$T$3:$T$5,0),MATCH(H197,Lists!$U$2:$Y$2,0)),"Check inputs"))</f>
        <v/>
      </c>
      <c r="J197" s="20"/>
      <c r="K197" s="20"/>
      <c r="L197" s="20"/>
      <c r="M197" s="20"/>
      <c r="N197" s="21"/>
      <c r="O197" s="20"/>
      <c r="P197" s="20"/>
    </row>
    <row r="198" customFormat="false" ht="1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7" t="str">
        <f aca="false">IF(OR(G198="",H198=""),"",IFERROR(INDEX(Lists!$U$3:$Y$5,MATCH(G198,Lists!$T$3:$T$5,0),MATCH(H198,Lists!$U$2:$Y$2,0)),"Check inputs"))</f>
        <v/>
      </c>
      <c r="J198" s="20"/>
      <c r="K198" s="20"/>
      <c r="L198" s="20"/>
      <c r="M198" s="20"/>
      <c r="N198" s="21"/>
      <c r="O198" s="20"/>
      <c r="P198" s="20"/>
    </row>
    <row r="199" customFormat="false" ht="1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7" t="str">
        <f aca="false">IF(OR(G199="",H199=""),"",IFERROR(INDEX(Lists!$U$3:$Y$5,MATCH(G199,Lists!$T$3:$T$5,0),MATCH(H199,Lists!$U$2:$Y$2,0)),"Check inputs"))</f>
        <v/>
      </c>
      <c r="J199" s="20"/>
      <c r="K199" s="20"/>
      <c r="L199" s="20"/>
      <c r="M199" s="20"/>
      <c r="N199" s="21"/>
      <c r="O199" s="20"/>
      <c r="P199" s="20"/>
    </row>
    <row r="200" customFormat="false" ht="1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7" t="str">
        <f aca="false">IF(OR(G200="",H200=""),"",IFERROR(INDEX(Lists!$U$3:$Y$5,MATCH(G200,Lists!$T$3:$T$5,0),MATCH(H200,Lists!$U$2:$Y$2,0)),"Check inputs"))</f>
        <v/>
      </c>
      <c r="J200" s="20"/>
      <c r="K200" s="20"/>
      <c r="L200" s="20"/>
      <c r="M200" s="20"/>
      <c r="N200" s="21"/>
      <c r="O200" s="20"/>
      <c r="P200" s="20"/>
    </row>
    <row r="201" customFormat="false" ht="15" hidden="false" customHeight="false" outlineLevel="0" collapsed="false">
      <c r="A201" s="20"/>
      <c r="B201" s="20"/>
      <c r="C201" s="20"/>
      <c r="D201" s="20"/>
      <c r="E201" s="20"/>
      <c r="F201" s="20"/>
      <c r="G201" s="20"/>
      <c r="H201" s="20"/>
      <c r="I201" s="27" t="str">
        <f aca="false">IF(OR(G201="",H201=""),"",IFERROR(INDEX(Lists!$U$3:$Y$5,MATCH(G201,Lists!$T$3:$T$5,0),MATCH(H201,Lists!$U$2:$Y$2,0)),"Check inputs"))</f>
        <v/>
      </c>
      <c r="J201" s="20"/>
      <c r="K201" s="20"/>
      <c r="L201" s="20"/>
      <c r="M201" s="20"/>
      <c r="N201" s="21"/>
      <c r="O201" s="20"/>
      <c r="P201" s="20"/>
    </row>
    <row r="202" customFormat="false" ht="15" hidden="false" customHeight="false" outlineLevel="0" collapsed="false">
      <c r="A202" s="20"/>
      <c r="B202" s="20"/>
      <c r="C202" s="20"/>
      <c r="D202" s="20"/>
      <c r="E202" s="20"/>
      <c r="F202" s="20"/>
      <c r="G202" s="20"/>
      <c r="H202" s="20"/>
      <c r="I202" s="27" t="str">
        <f aca="false">IF(OR(G202="",H202=""),"",IFERROR(INDEX(Lists!$U$3:$Y$5,MATCH(G202,Lists!$T$3:$T$5,0),MATCH(H202,Lists!$U$2:$Y$2,0)),"Check inputs"))</f>
        <v/>
      </c>
      <c r="J202" s="20"/>
      <c r="K202" s="20"/>
      <c r="L202" s="20"/>
      <c r="M202" s="20"/>
      <c r="N202" s="21"/>
      <c r="O202" s="20"/>
      <c r="P202" s="20"/>
    </row>
    <row r="203" customFormat="false" ht="15" hidden="false" customHeight="false" outlineLevel="0" collapsed="false">
      <c r="A203" s="20"/>
      <c r="B203" s="20"/>
      <c r="C203" s="20"/>
      <c r="D203" s="20"/>
      <c r="E203" s="20"/>
      <c r="F203" s="20"/>
      <c r="G203" s="20"/>
      <c r="H203" s="20"/>
      <c r="I203" s="27" t="str">
        <f aca="false">IF(OR(G203="",H203=""),"",IFERROR(INDEX(Lists!$U$3:$Y$5,MATCH(G203,Lists!$T$3:$T$5,0),MATCH(H203,Lists!$U$2:$Y$2,0)),"Check inputs"))</f>
        <v/>
      </c>
      <c r="J203" s="20"/>
      <c r="K203" s="20"/>
      <c r="L203" s="20"/>
      <c r="M203" s="20"/>
      <c r="N203" s="21"/>
      <c r="O203" s="20"/>
      <c r="P203" s="20"/>
    </row>
    <row r="204" customFormat="false" ht="15" hidden="false" customHeight="false" outlineLevel="0" collapsed="false">
      <c r="A204" s="20"/>
      <c r="B204" s="20"/>
      <c r="C204" s="20"/>
      <c r="D204" s="20"/>
      <c r="E204" s="20"/>
      <c r="F204" s="20"/>
      <c r="G204" s="20"/>
      <c r="H204" s="20"/>
      <c r="I204" s="27" t="str">
        <f aca="false">IF(OR(G204="",H204=""),"",IFERROR(INDEX(Lists!$U$3:$Y$5,MATCH(G204,Lists!$T$3:$T$5,0),MATCH(H204,Lists!$U$2:$Y$2,0)),"Check inputs"))</f>
        <v/>
      </c>
      <c r="J204" s="20"/>
      <c r="K204" s="20"/>
      <c r="L204" s="20"/>
      <c r="M204" s="20"/>
      <c r="N204" s="21"/>
      <c r="O204" s="20"/>
      <c r="P204" s="20"/>
    </row>
    <row r="205" customFormat="false" ht="15" hidden="false" customHeight="false" outlineLevel="0" collapsed="false">
      <c r="A205" s="20"/>
      <c r="B205" s="20"/>
      <c r="C205" s="20"/>
      <c r="D205" s="20"/>
      <c r="E205" s="20"/>
      <c r="F205" s="20"/>
      <c r="G205" s="20"/>
      <c r="H205" s="20"/>
      <c r="I205" s="27" t="str">
        <f aca="false">IF(OR(G205="",H205=""),"",IFERROR(INDEX(Lists!$U$3:$Y$5,MATCH(G205,Lists!$T$3:$T$5,0),MATCH(H205,Lists!$U$2:$Y$2,0)),"Check inputs"))</f>
        <v/>
      </c>
      <c r="J205" s="20"/>
      <c r="K205" s="20"/>
      <c r="L205" s="20"/>
      <c r="M205" s="20"/>
      <c r="N205" s="21"/>
      <c r="O205" s="20"/>
      <c r="P205" s="20"/>
    </row>
    <row r="206" customFormat="false" ht="15" hidden="false" customHeight="false" outlineLevel="0" collapsed="false">
      <c r="A206" s="20"/>
      <c r="B206" s="20"/>
      <c r="C206" s="20"/>
      <c r="D206" s="20"/>
      <c r="E206" s="20"/>
      <c r="F206" s="20"/>
      <c r="G206" s="20"/>
      <c r="H206" s="20"/>
      <c r="I206" s="27" t="str">
        <f aca="false">IF(OR(G206="",H206=""),"",IFERROR(INDEX(Lists!$U$3:$Y$5,MATCH(G206,Lists!$T$3:$T$5,0),MATCH(H206,Lists!$U$2:$Y$2,0)),"Check inputs"))</f>
        <v/>
      </c>
      <c r="J206" s="20"/>
      <c r="K206" s="20"/>
      <c r="L206" s="20"/>
      <c r="M206" s="20"/>
      <c r="N206" s="21"/>
      <c r="O206" s="20"/>
      <c r="P206" s="20"/>
    </row>
    <row r="207" customFormat="false" ht="15" hidden="false" customHeight="false" outlineLevel="0" collapsed="false">
      <c r="A207" s="20"/>
      <c r="B207" s="20"/>
      <c r="C207" s="20"/>
      <c r="D207" s="20"/>
      <c r="E207" s="20"/>
      <c r="F207" s="20"/>
      <c r="G207" s="20"/>
      <c r="H207" s="20"/>
      <c r="I207" s="27" t="str">
        <f aca="false">IF(OR(G207="",H207=""),"",IFERROR(INDEX(Lists!$U$3:$Y$5,MATCH(G207,Lists!$T$3:$T$5,0),MATCH(H207,Lists!$U$2:$Y$2,0)),"Check inputs"))</f>
        <v/>
      </c>
      <c r="J207" s="20"/>
      <c r="K207" s="20"/>
      <c r="L207" s="20"/>
      <c r="M207" s="20"/>
      <c r="N207" s="21"/>
      <c r="O207" s="20"/>
      <c r="P207" s="20"/>
    </row>
    <row r="208" customFormat="false" ht="15" hidden="false" customHeight="false" outlineLevel="0" collapsed="false">
      <c r="A208" s="20"/>
      <c r="B208" s="20"/>
      <c r="C208" s="20"/>
      <c r="D208" s="20"/>
      <c r="E208" s="20"/>
      <c r="F208" s="20"/>
      <c r="G208" s="20"/>
      <c r="H208" s="20"/>
      <c r="I208" s="27" t="str">
        <f aca="false">IF(OR(G208="",H208=""),"",IFERROR(INDEX(Lists!$U$3:$Y$5,MATCH(G208,Lists!$T$3:$T$5,0),MATCH(H208,Lists!$U$2:$Y$2,0)),"Check inputs"))</f>
        <v/>
      </c>
      <c r="J208" s="20"/>
      <c r="K208" s="20"/>
      <c r="L208" s="20"/>
      <c r="M208" s="20"/>
      <c r="N208" s="21"/>
      <c r="O208" s="20"/>
      <c r="P208" s="20"/>
    </row>
    <row r="209" customFormat="false" ht="15" hidden="false" customHeight="false" outlineLevel="0" collapsed="false">
      <c r="A209" s="20"/>
      <c r="B209" s="20"/>
      <c r="C209" s="20"/>
      <c r="D209" s="20"/>
      <c r="E209" s="20"/>
      <c r="F209" s="20"/>
      <c r="G209" s="20"/>
      <c r="H209" s="20"/>
      <c r="I209" s="27" t="str">
        <f aca="false">IF(OR(G209="",H209=""),"",IFERROR(INDEX(Lists!$U$3:$Y$5,MATCH(G209,Lists!$T$3:$T$5,0),MATCH(H209,Lists!$U$2:$Y$2,0)),"Check inputs"))</f>
        <v/>
      </c>
      <c r="J209" s="20"/>
      <c r="K209" s="20"/>
      <c r="L209" s="20"/>
      <c r="M209" s="20"/>
      <c r="N209" s="21"/>
      <c r="O209" s="20"/>
      <c r="P209" s="20"/>
    </row>
    <row r="210" customFormat="false" ht="15" hidden="false" customHeight="false" outlineLevel="0" collapsed="false">
      <c r="A210" s="20"/>
      <c r="B210" s="20"/>
      <c r="C210" s="20"/>
      <c r="D210" s="20"/>
      <c r="E210" s="20"/>
      <c r="F210" s="20"/>
      <c r="G210" s="20"/>
      <c r="H210" s="20"/>
      <c r="I210" s="27" t="str">
        <f aca="false">IF(OR(G210="",H210=""),"",IFERROR(INDEX(Lists!$U$3:$Y$5,MATCH(G210,Lists!$T$3:$T$5,0),MATCH(H210,Lists!$U$2:$Y$2,0)),"Check inputs"))</f>
        <v/>
      </c>
      <c r="J210" s="20"/>
      <c r="K210" s="20"/>
      <c r="L210" s="20"/>
      <c r="M210" s="20"/>
      <c r="N210" s="21"/>
      <c r="O210" s="20"/>
      <c r="P210" s="20"/>
    </row>
    <row r="211" customFormat="false" ht="15" hidden="false" customHeight="false" outlineLevel="0" collapsed="false">
      <c r="A211" s="20"/>
      <c r="B211" s="20"/>
      <c r="C211" s="20"/>
      <c r="D211" s="20"/>
      <c r="E211" s="20"/>
      <c r="F211" s="20"/>
      <c r="G211" s="20"/>
      <c r="H211" s="20"/>
      <c r="I211" s="27" t="str">
        <f aca="false">IF(OR(G211="",H211=""),"",IFERROR(INDEX(Lists!$U$3:$Y$5,MATCH(G211,Lists!$T$3:$T$5,0),MATCH(H211,Lists!$U$2:$Y$2,0)),"Check inputs"))</f>
        <v/>
      </c>
      <c r="J211" s="20"/>
      <c r="K211" s="20"/>
      <c r="L211" s="20"/>
      <c r="M211" s="20"/>
      <c r="N211" s="21"/>
      <c r="O211" s="20"/>
      <c r="P211" s="20"/>
    </row>
    <row r="212" customFormat="false" ht="15" hidden="false" customHeight="false" outlineLevel="0" collapsed="false">
      <c r="A212" s="20"/>
      <c r="B212" s="20"/>
      <c r="C212" s="20"/>
      <c r="D212" s="20"/>
      <c r="E212" s="20"/>
      <c r="F212" s="20"/>
      <c r="G212" s="20"/>
      <c r="H212" s="20"/>
      <c r="I212" s="27" t="str">
        <f aca="false">IF(OR(G212="",H212=""),"",IFERROR(INDEX(Lists!$U$3:$Y$5,MATCH(G212,Lists!$T$3:$T$5,0),MATCH(H212,Lists!$U$2:$Y$2,0)),"Check inputs"))</f>
        <v/>
      </c>
      <c r="J212" s="20"/>
      <c r="K212" s="20"/>
      <c r="L212" s="20"/>
      <c r="M212" s="20"/>
      <c r="N212" s="21"/>
      <c r="O212" s="20"/>
      <c r="P212" s="20"/>
    </row>
    <row r="213" customFormat="false" ht="15" hidden="false" customHeight="false" outlineLevel="0" collapsed="false">
      <c r="A213" s="20"/>
      <c r="B213" s="20"/>
      <c r="C213" s="20"/>
      <c r="D213" s="20"/>
      <c r="E213" s="20"/>
      <c r="F213" s="20"/>
      <c r="G213" s="20"/>
      <c r="H213" s="20"/>
      <c r="I213" s="27" t="str">
        <f aca="false">IF(OR(G213="",H213=""),"",IFERROR(INDEX(Lists!$U$3:$Y$5,MATCH(G213,Lists!$T$3:$T$5,0),MATCH(H213,Lists!$U$2:$Y$2,0)),"Check inputs"))</f>
        <v/>
      </c>
      <c r="J213" s="20"/>
      <c r="K213" s="20"/>
      <c r="L213" s="20"/>
      <c r="M213" s="20"/>
      <c r="N213" s="21"/>
      <c r="O213" s="20"/>
      <c r="P213" s="20"/>
    </row>
    <row r="214" customFormat="false" ht="15" hidden="false" customHeight="false" outlineLevel="0" collapsed="false">
      <c r="A214" s="20"/>
      <c r="B214" s="20"/>
      <c r="C214" s="20"/>
      <c r="D214" s="20"/>
      <c r="E214" s="20"/>
      <c r="F214" s="20"/>
      <c r="G214" s="20"/>
      <c r="H214" s="20"/>
      <c r="I214" s="27" t="str">
        <f aca="false">IF(OR(G214="",H214=""),"",IFERROR(INDEX(Lists!$U$3:$Y$5,MATCH(G214,Lists!$T$3:$T$5,0),MATCH(H214,Lists!$U$2:$Y$2,0)),"Check inputs"))</f>
        <v/>
      </c>
      <c r="J214" s="20"/>
      <c r="K214" s="20"/>
      <c r="L214" s="20"/>
      <c r="M214" s="20"/>
      <c r="N214" s="21"/>
      <c r="O214" s="20"/>
      <c r="P214" s="20"/>
    </row>
    <row r="215" customFormat="false" ht="15" hidden="false" customHeight="false" outlineLevel="0" collapsed="false">
      <c r="A215" s="20"/>
      <c r="B215" s="20"/>
      <c r="C215" s="20"/>
      <c r="D215" s="20"/>
      <c r="E215" s="20"/>
      <c r="F215" s="20"/>
      <c r="G215" s="20"/>
      <c r="H215" s="20"/>
      <c r="I215" s="27" t="str">
        <f aca="false">IF(OR(G215="",H215=""),"",IFERROR(INDEX(Lists!$U$3:$Y$5,MATCH(G215,Lists!$T$3:$T$5,0),MATCH(H215,Lists!$U$2:$Y$2,0)),"Check inputs"))</f>
        <v/>
      </c>
      <c r="J215" s="20"/>
      <c r="K215" s="20"/>
      <c r="L215" s="20"/>
      <c r="M215" s="20"/>
      <c r="N215" s="21"/>
      <c r="O215" s="20"/>
      <c r="P215" s="20"/>
    </row>
    <row r="216" customFormat="false" ht="15" hidden="false" customHeight="false" outlineLevel="0" collapsed="false">
      <c r="A216" s="20"/>
      <c r="B216" s="20"/>
      <c r="C216" s="20"/>
      <c r="D216" s="20"/>
      <c r="E216" s="20"/>
      <c r="F216" s="20"/>
      <c r="G216" s="20"/>
      <c r="H216" s="20"/>
      <c r="I216" s="27" t="str">
        <f aca="false">IF(OR(G216="",H216=""),"",IFERROR(INDEX(Lists!$U$3:$Y$5,MATCH(G216,Lists!$T$3:$T$5,0),MATCH(H216,Lists!$U$2:$Y$2,0)),"Check inputs"))</f>
        <v/>
      </c>
      <c r="J216" s="20"/>
      <c r="K216" s="20"/>
      <c r="L216" s="20"/>
      <c r="M216" s="20"/>
      <c r="N216" s="21"/>
      <c r="O216" s="20"/>
      <c r="P216" s="20"/>
    </row>
    <row r="217" customFormat="false" ht="15" hidden="false" customHeight="false" outlineLevel="0" collapsed="false">
      <c r="A217" s="20"/>
      <c r="B217" s="20"/>
      <c r="C217" s="20"/>
      <c r="D217" s="20"/>
      <c r="E217" s="20"/>
      <c r="F217" s="20"/>
      <c r="G217" s="20"/>
      <c r="H217" s="20"/>
      <c r="I217" s="27" t="str">
        <f aca="false">IF(OR(G217="",H217=""),"",IFERROR(INDEX(Lists!$U$3:$Y$5,MATCH(G217,Lists!$T$3:$T$5,0),MATCH(H217,Lists!$U$2:$Y$2,0)),"Check inputs"))</f>
        <v/>
      </c>
      <c r="J217" s="20"/>
      <c r="K217" s="20"/>
      <c r="L217" s="20"/>
      <c r="M217" s="20"/>
      <c r="N217" s="21"/>
      <c r="O217" s="20"/>
      <c r="P217" s="20"/>
    </row>
    <row r="218" customFormat="false" ht="15" hidden="false" customHeight="false" outlineLevel="0" collapsed="false">
      <c r="A218" s="20"/>
      <c r="B218" s="20"/>
      <c r="C218" s="20"/>
      <c r="D218" s="20"/>
      <c r="E218" s="20"/>
      <c r="F218" s="20"/>
      <c r="G218" s="20"/>
      <c r="H218" s="20"/>
      <c r="I218" s="27" t="str">
        <f aca="false">IF(OR(G218="",H218=""),"",IFERROR(INDEX(Lists!$U$3:$Y$5,MATCH(G218,Lists!$T$3:$T$5,0),MATCH(H218,Lists!$U$2:$Y$2,0)),"Check inputs"))</f>
        <v/>
      </c>
      <c r="J218" s="20"/>
      <c r="K218" s="20"/>
      <c r="L218" s="20"/>
      <c r="M218" s="20"/>
      <c r="N218" s="21"/>
      <c r="O218" s="20"/>
      <c r="P218" s="20"/>
    </row>
    <row r="219" customFormat="false" ht="15" hidden="false" customHeight="false" outlineLevel="0" collapsed="false">
      <c r="A219" s="20"/>
      <c r="B219" s="20"/>
      <c r="C219" s="20"/>
      <c r="D219" s="20"/>
      <c r="E219" s="20"/>
      <c r="F219" s="20"/>
      <c r="G219" s="20"/>
      <c r="H219" s="20"/>
      <c r="I219" s="27" t="str">
        <f aca="false">IF(OR(G219="",H219=""),"",IFERROR(INDEX(Lists!$U$3:$Y$5,MATCH(G219,Lists!$T$3:$T$5,0),MATCH(H219,Lists!$U$2:$Y$2,0)),"Check inputs"))</f>
        <v/>
      </c>
      <c r="J219" s="20"/>
      <c r="K219" s="20"/>
      <c r="L219" s="20"/>
      <c r="M219" s="20"/>
      <c r="N219" s="21"/>
      <c r="O219" s="20"/>
      <c r="P219" s="20"/>
    </row>
    <row r="220" customFormat="false" ht="15" hidden="false" customHeight="false" outlineLevel="0" collapsed="false">
      <c r="A220" s="20"/>
      <c r="B220" s="20"/>
      <c r="C220" s="20"/>
      <c r="D220" s="20"/>
      <c r="E220" s="20"/>
      <c r="F220" s="20"/>
      <c r="G220" s="20"/>
      <c r="H220" s="20"/>
      <c r="I220" s="27" t="str">
        <f aca="false">IF(OR(G220="",H220=""),"",IFERROR(INDEX(Lists!$U$3:$Y$5,MATCH(G220,Lists!$T$3:$T$5,0),MATCH(H220,Lists!$U$2:$Y$2,0)),"Check inputs"))</f>
        <v/>
      </c>
      <c r="J220" s="20"/>
      <c r="K220" s="20"/>
      <c r="L220" s="20"/>
      <c r="M220" s="20"/>
      <c r="N220" s="21"/>
      <c r="O220" s="20"/>
      <c r="P220" s="20"/>
    </row>
    <row r="221" customFormat="false" ht="15" hidden="false" customHeight="false" outlineLevel="0" collapsed="false">
      <c r="A221" s="20"/>
      <c r="B221" s="20"/>
      <c r="C221" s="20"/>
      <c r="D221" s="20"/>
      <c r="E221" s="20"/>
      <c r="F221" s="20"/>
      <c r="G221" s="20"/>
      <c r="H221" s="20"/>
      <c r="I221" s="27" t="str">
        <f aca="false">IF(OR(G221="",H221=""),"",IFERROR(INDEX(Lists!$U$3:$Y$5,MATCH(G221,Lists!$T$3:$T$5,0),MATCH(H221,Lists!$U$2:$Y$2,0)),"Check inputs"))</f>
        <v/>
      </c>
      <c r="J221" s="20"/>
      <c r="K221" s="20"/>
      <c r="L221" s="20"/>
      <c r="M221" s="20"/>
      <c r="N221" s="21"/>
      <c r="O221" s="20"/>
      <c r="P221" s="20"/>
    </row>
    <row r="222" customFormat="false" ht="15" hidden="false" customHeight="false" outlineLevel="0" collapsed="false">
      <c r="A222" s="20"/>
      <c r="B222" s="20"/>
      <c r="C222" s="20"/>
      <c r="D222" s="20"/>
      <c r="E222" s="20"/>
      <c r="F222" s="20"/>
      <c r="G222" s="20"/>
      <c r="H222" s="20"/>
      <c r="I222" s="27" t="str">
        <f aca="false">IF(OR(G222="",H222=""),"",IFERROR(INDEX(Lists!$U$3:$Y$5,MATCH(G222,Lists!$T$3:$T$5,0),MATCH(H222,Lists!$U$2:$Y$2,0)),"Check inputs"))</f>
        <v/>
      </c>
      <c r="J222" s="20"/>
      <c r="K222" s="20"/>
      <c r="L222" s="20"/>
      <c r="M222" s="20"/>
      <c r="N222" s="21"/>
      <c r="O222" s="20"/>
      <c r="P222" s="20"/>
    </row>
    <row r="223" customFormat="false" ht="15" hidden="false" customHeight="false" outlineLevel="0" collapsed="false">
      <c r="A223" s="20"/>
      <c r="B223" s="20"/>
      <c r="C223" s="20"/>
      <c r="D223" s="20"/>
      <c r="E223" s="20"/>
      <c r="F223" s="20"/>
      <c r="G223" s="20"/>
      <c r="H223" s="20"/>
      <c r="I223" s="27" t="str">
        <f aca="false">IF(OR(G223="",H223=""),"",IFERROR(INDEX(Lists!$U$3:$Y$5,MATCH(G223,Lists!$T$3:$T$5,0),MATCH(H223,Lists!$U$2:$Y$2,0)),"Check inputs"))</f>
        <v/>
      </c>
      <c r="J223" s="20"/>
      <c r="K223" s="20"/>
      <c r="L223" s="20"/>
      <c r="M223" s="20"/>
      <c r="N223" s="21"/>
      <c r="O223" s="20"/>
      <c r="P223" s="20"/>
    </row>
    <row r="224" customFormat="false" ht="15" hidden="false" customHeight="false" outlineLevel="0" collapsed="false">
      <c r="A224" s="20"/>
      <c r="B224" s="20"/>
      <c r="C224" s="20"/>
      <c r="D224" s="20"/>
      <c r="E224" s="20"/>
      <c r="F224" s="20"/>
      <c r="G224" s="20"/>
      <c r="H224" s="20"/>
      <c r="I224" s="27" t="str">
        <f aca="false">IF(OR(G224="",H224=""),"",IFERROR(INDEX(Lists!$U$3:$Y$5,MATCH(G224,Lists!$T$3:$T$5,0),MATCH(H224,Lists!$U$2:$Y$2,0)),"Check inputs"))</f>
        <v/>
      </c>
      <c r="J224" s="20"/>
      <c r="K224" s="20"/>
      <c r="L224" s="20"/>
      <c r="M224" s="20"/>
      <c r="N224" s="21"/>
      <c r="O224" s="20"/>
      <c r="P224" s="20"/>
    </row>
    <row r="225" customFormat="false" ht="15" hidden="false" customHeight="false" outlineLevel="0" collapsed="false">
      <c r="A225" s="20"/>
      <c r="B225" s="20"/>
      <c r="C225" s="20"/>
      <c r="D225" s="20"/>
      <c r="E225" s="20"/>
      <c r="F225" s="20"/>
      <c r="G225" s="20"/>
      <c r="H225" s="20"/>
      <c r="I225" s="27" t="str">
        <f aca="false">IF(OR(G225="",H225=""),"",IFERROR(INDEX(Lists!$U$3:$Y$5,MATCH(G225,Lists!$T$3:$T$5,0),MATCH(H225,Lists!$U$2:$Y$2,0)),"Check inputs"))</f>
        <v/>
      </c>
      <c r="J225" s="20"/>
      <c r="K225" s="20"/>
      <c r="L225" s="20"/>
      <c r="M225" s="20"/>
      <c r="N225" s="21"/>
      <c r="O225" s="20"/>
      <c r="P225" s="20"/>
    </row>
    <row r="226" customFormat="false" ht="15" hidden="false" customHeight="false" outlineLevel="0" collapsed="false">
      <c r="A226" s="20"/>
      <c r="B226" s="20"/>
      <c r="C226" s="20"/>
      <c r="D226" s="20"/>
      <c r="E226" s="20"/>
      <c r="F226" s="20"/>
      <c r="G226" s="20"/>
      <c r="H226" s="20"/>
      <c r="I226" s="27" t="str">
        <f aca="false">IF(OR(G226="",H226=""),"",IFERROR(INDEX(Lists!$U$3:$Y$5,MATCH(G226,Lists!$T$3:$T$5,0),MATCH(H226,Lists!$U$2:$Y$2,0)),"Check inputs"))</f>
        <v/>
      </c>
      <c r="J226" s="20"/>
      <c r="K226" s="20"/>
      <c r="L226" s="20"/>
      <c r="M226" s="20"/>
      <c r="N226" s="21"/>
      <c r="O226" s="20"/>
      <c r="P226" s="20"/>
    </row>
    <row r="227" customFormat="false" ht="15" hidden="false" customHeight="false" outlineLevel="0" collapsed="false">
      <c r="A227" s="20"/>
      <c r="B227" s="20"/>
      <c r="C227" s="20"/>
      <c r="D227" s="20"/>
      <c r="E227" s="20"/>
      <c r="F227" s="20"/>
      <c r="G227" s="20"/>
      <c r="H227" s="20"/>
      <c r="I227" s="27" t="str">
        <f aca="false">IF(OR(G227="",H227=""),"",IFERROR(INDEX(Lists!$U$3:$Y$5,MATCH(G227,Lists!$T$3:$T$5,0),MATCH(H227,Lists!$U$2:$Y$2,0)),"Check inputs"))</f>
        <v/>
      </c>
      <c r="J227" s="20"/>
      <c r="K227" s="20"/>
      <c r="L227" s="20"/>
      <c r="M227" s="20"/>
      <c r="N227" s="21"/>
      <c r="O227" s="20"/>
      <c r="P227" s="20"/>
    </row>
    <row r="228" customFormat="false" ht="15" hidden="false" customHeight="false" outlineLevel="0" collapsed="false">
      <c r="A228" s="20"/>
      <c r="B228" s="20"/>
      <c r="C228" s="20"/>
      <c r="D228" s="20"/>
      <c r="E228" s="20"/>
      <c r="F228" s="20"/>
      <c r="G228" s="20"/>
      <c r="H228" s="20"/>
      <c r="I228" s="27" t="str">
        <f aca="false">IF(OR(G228="",H228=""),"",IFERROR(INDEX(Lists!$U$3:$Y$5,MATCH(G228,Lists!$T$3:$T$5,0),MATCH(H228,Lists!$U$2:$Y$2,0)),"Check inputs"))</f>
        <v/>
      </c>
      <c r="J228" s="20"/>
      <c r="K228" s="20"/>
      <c r="L228" s="20"/>
      <c r="M228" s="20"/>
      <c r="N228" s="21"/>
      <c r="O228" s="20"/>
      <c r="P228" s="20"/>
    </row>
    <row r="229" customFormat="false" ht="15" hidden="false" customHeight="false" outlineLevel="0" collapsed="false">
      <c r="A229" s="20"/>
      <c r="B229" s="20"/>
      <c r="C229" s="20"/>
      <c r="D229" s="20"/>
      <c r="E229" s="20"/>
      <c r="F229" s="20"/>
      <c r="G229" s="20"/>
      <c r="H229" s="20"/>
      <c r="I229" s="27" t="str">
        <f aca="false">IF(OR(G229="",H229=""),"",IFERROR(INDEX(Lists!$U$3:$Y$5,MATCH(G229,Lists!$T$3:$T$5,0),MATCH(H229,Lists!$U$2:$Y$2,0)),"Check inputs"))</f>
        <v/>
      </c>
      <c r="J229" s="20"/>
      <c r="K229" s="20"/>
      <c r="L229" s="20"/>
      <c r="M229" s="20"/>
      <c r="N229" s="21"/>
      <c r="O229" s="20"/>
      <c r="P229" s="20"/>
    </row>
    <row r="230" customFormat="false" ht="15" hidden="false" customHeight="false" outlineLevel="0" collapsed="false">
      <c r="A230" s="20"/>
      <c r="B230" s="20"/>
      <c r="C230" s="20"/>
      <c r="D230" s="20"/>
      <c r="E230" s="20"/>
      <c r="F230" s="20"/>
      <c r="G230" s="20"/>
      <c r="H230" s="20"/>
      <c r="I230" s="27" t="str">
        <f aca="false">IF(OR(G230="",H230=""),"",IFERROR(INDEX(Lists!$U$3:$Y$5,MATCH(G230,Lists!$T$3:$T$5,0),MATCH(H230,Lists!$U$2:$Y$2,0)),"Check inputs"))</f>
        <v/>
      </c>
      <c r="J230" s="20"/>
      <c r="K230" s="20"/>
      <c r="L230" s="20"/>
      <c r="M230" s="20"/>
      <c r="N230" s="21"/>
      <c r="O230" s="20"/>
      <c r="P230" s="20"/>
    </row>
    <row r="231" customFormat="false" ht="15" hidden="false" customHeight="false" outlineLevel="0" collapsed="false">
      <c r="A231" s="20"/>
      <c r="B231" s="20"/>
      <c r="C231" s="20"/>
      <c r="D231" s="20"/>
      <c r="E231" s="20"/>
      <c r="F231" s="20"/>
      <c r="G231" s="20"/>
      <c r="H231" s="20"/>
      <c r="I231" s="27" t="str">
        <f aca="false">IF(OR(G231="",H231=""),"",IFERROR(INDEX(Lists!$U$3:$Y$5,MATCH(G231,Lists!$T$3:$T$5,0),MATCH(H231,Lists!$U$2:$Y$2,0)),"Check inputs"))</f>
        <v/>
      </c>
      <c r="J231" s="20"/>
      <c r="K231" s="20"/>
      <c r="L231" s="20"/>
      <c r="M231" s="20"/>
      <c r="N231" s="21"/>
      <c r="O231" s="20"/>
      <c r="P231" s="20"/>
    </row>
    <row r="232" customFormat="false" ht="15" hidden="false" customHeight="false" outlineLevel="0" collapsed="false">
      <c r="A232" s="20"/>
      <c r="B232" s="20"/>
      <c r="C232" s="20"/>
      <c r="D232" s="20"/>
      <c r="E232" s="20"/>
      <c r="F232" s="20"/>
      <c r="G232" s="20"/>
      <c r="H232" s="20"/>
      <c r="I232" s="27" t="str">
        <f aca="false">IF(OR(G232="",H232=""),"",IFERROR(INDEX(Lists!$U$3:$Y$5,MATCH(G232,Lists!$T$3:$T$5,0),MATCH(H232,Lists!$U$2:$Y$2,0)),"Check inputs"))</f>
        <v/>
      </c>
      <c r="J232" s="20"/>
      <c r="K232" s="20"/>
      <c r="L232" s="20"/>
      <c r="M232" s="20"/>
      <c r="N232" s="21"/>
      <c r="O232" s="20"/>
      <c r="P232" s="20"/>
    </row>
    <row r="233" customFormat="false" ht="15" hidden="false" customHeight="false" outlineLevel="0" collapsed="false">
      <c r="A233" s="20"/>
      <c r="B233" s="20"/>
      <c r="C233" s="20"/>
      <c r="D233" s="20"/>
      <c r="E233" s="20"/>
      <c r="F233" s="20"/>
      <c r="G233" s="20"/>
      <c r="H233" s="20"/>
      <c r="I233" s="27" t="str">
        <f aca="false">IF(OR(G233="",H233=""),"",IFERROR(INDEX(Lists!$U$3:$Y$5,MATCH(G233,Lists!$T$3:$T$5,0),MATCH(H233,Lists!$U$2:$Y$2,0)),"Check inputs"))</f>
        <v/>
      </c>
      <c r="J233" s="20"/>
      <c r="K233" s="20"/>
      <c r="L233" s="20"/>
      <c r="M233" s="20"/>
      <c r="N233" s="21"/>
      <c r="O233" s="20"/>
      <c r="P233" s="20"/>
    </row>
    <row r="234" customFormat="false" ht="15" hidden="false" customHeight="false" outlineLevel="0" collapsed="false">
      <c r="A234" s="20"/>
      <c r="B234" s="20"/>
      <c r="C234" s="20"/>
      <c r="D234" s="20"/>
      <c r="E234" s="20"/>
      <c r="F234" s="20"/>
      <c r="G234" s="20"/>
      <c r="H234" s="20"/>
      <c r="I234" s="27" t="str">
        <f aca="false">IF(OR(G234="",H234=""),"",IFERROR(INDEX(Lists!$U$3:$Y$5,MATCH(G234,Lists!$T$3:$T$5,0),MATCH(H234,Lists!$U$2:$Y$2,0)),"Check inputs"))</f>
        <v/>
      </c>
      <c r="J234" s="20"/>
      <c r="K234" s="20"/>
      <c r="L234" s="20"/>
      <c r="M234" s="20"/>
      <c r="N234" s="21"/>
      <c r="O234" s="20"/>
      <c r="P234" s="20"/>
    </row>
    <row r="235" customFormat="false" ht="15" hidden="false" customHeight="false" outlineLevel="0" collapsed="false">
      <c r="A235" s="20"/>
      <c r="B235" s="20"/>
      <c r="C235" s="20"/>
      <c r="D235" s="20"/>
      <c r="E235" s="20"/>
      <c r="F235" s="20"/>
      <c r="G235" s="20"/>
      <c r="H235" s="20"/>
      <c r="I235" s="27" t="str">
        <f aca="false">IF(OR(G235="",H235=""),"",IFERROR(INDEX(Lists!$U$3:$Y$5,MATCH(G235,Lists!$T$3:$T$5,0),MATCH(H235,Lists!$U$2:$Y$2,0)),"Check inputs"))</f>
        <v/>
      </c>
      <c r="J235" s="20"/>
      <c r="K235" s="20"/>
      <c r="L235" s="20"/>
      <c r="M235" s="20"/>
      <c r="N235" s="21"/>
      <c r="O235" s="20"/>
      <c r="P235" s="20"/>
    </row>
    <row r="236" customFormat="false" ht="15" hidden="false" customHeight="false" outlineLevel="0" collapsed="false">
      <c r="A236" s="20"/>
      <c r="B236" s="20"/>
      <c r="C236" s="20"/>
      <c r="D236" s="20"/>
      <c r="E236" s="20"/>
      <c r="F236" s="20"/>
      <c r="G236" s="20"/>
      <c r="H236" s="20"/>
      <c r="I236" s="27" t="str">
        <f aca="false">IF(OR(G236="",H236=""),"",IFERROR(INDEX(Lists!$U$3:$Y$5,MATCH(G236,Lists!$T$3:$T$5,0),MATCH(H236,Lists!$U$2:$Y$2,0)),"Check inputs"))</f>
        <v/>
      </c>
      <c r="J236" s="20"/>
      <c r="K236" s="20"/>
      <c r="L236" s="20"/>
      <c r="M236" s="20"/>
      <c r="N236" s="21"/>
      <c r="O236" s="20"/>
      <c r="P236" s="20"/>
    </row>
    <row r="237" customFormat="false" ht="15" hidden="false" customHeight="false" outlineLevel="0" collapsed="false">
      <c r="A237" s="20"/>
      <c r="B237" s="20"/>
      <c r="C237" s="20"/>
      <c r="D237" s="20"/>
      <c r="E237" s="20"/>
      <c r="F237" s="20"/>
      <c r="G237" s="20"/>
      <c r="H237" s="20"/>
      <c r="I237" s="27" t="str">
        <f aca="false">IF(OR(G237="",H237=""),"",IFERROR(INDEX(Lists!$U$3:$Y$5,MATCH(G237,Lists!$T$3:$T$5,0),MATCH(H237,Lists!$U$2:$Y$2,0)),"Check inputs"))</f>
        <v/>
      </c>
      <c r="J237" s="20"/>
      <c r="K237" s="20"/>
      <c r="L237" s="20"/>
      <c r="M237" s="20"/>
      <c r="N237" s="21"/>
      <c r="O237" s="20"/>
      <c r="P237" s="20"/>
    </row>
    <row r="238" customFormat="false" ht="15" hidden="false" customHeight="false" outlineLevel="0" collapsed="false">
      <c r="A238" s="20"/>
      <c r="B238" s="20"/>
      <c r="C238" s="20"/>
      <c r="D238" s="20"/>
      <c r="E238" s="20"/>
      <c r="F238" s="20"/>
      <c r="G238" s="20"/>
      <c r="H238" s="20"/>
      <c r="I238" s="27" t="str">
        <f aca="false">IF(OR(G238="",H238=""),"",IFERROR(INDEX(Lists!$U$3:$Y$5,MATCH(G238,Lists!$T$3:$T$5,0),MATCH(H238,Lists!$U$2:$Y$2,0)),"Check inputs"))</f>
        <v/>
      </c>
      <c r="J238" s="20"/>
      <c r="K238" s="20"/>
      <c r="L238" s="20"/>
      <c r="M238" s="20"/>
      <c r="N238" s="21"/>
      <c r="O238" s="20"/>
      <c r="P238" s="20"/>
    </row>
    <row r="239" customFormat="false" ht="15" hidden="false" customHeight="false" outlineLevel="0" collapsed="false">
      <c r="A239" s="20"/>
      <c r="B239" s="20"/>
      <c r="C239" s="20"/>
      <c r="D239" s="20"/>
      <c r="E239" s="20"/>
      <c r="F239" s="20"/>
      <c r="G239" s="20"/>
      <c r="H239" s="20"/>
      <c r="I239" s="27" t="str">
        <f aca="false">IF(OR(G239="",H239=""),"",IFERROR(INDEX(Lists!$U$3:$Y$5,MATCH(G239,Lists!$T$3:$T$5,0),MATCH(H239,Lists!$U$2:$Y$2,0)),"Check inputs"))</f>
        <v/>
      </c>
      <c r="J239" s="20"/>
      <c r="K239" s="20"/>
      <c r="L239" s="20"/>
      <c r="M239" s="20"/>
      <c r="N239" s="21"/>
      <c r="O239" s="20"/>
      <c r="P239" s="20"/>
    </row>
    <row r="240" customFormat="false" ht="15" hidden="false" customHeight="false" outlineLevel="0" collapsed="false">
      <c r="A240" s="20"/>
      <c r="B240" s="20"/>
      <c r="C240" s="20"/>
      <c r="D240" s="20"/>
      <c r="E240" s="20"/>
      <c r="F240" s="20"/>
      <c r="G240" s="20"/>
      <c r="H240" s="20"/>
      <c r="I240" s="27" t="str">
        <f aca="false">IF(OR(G240="",H240=""),"",IFERROR(INDEX(Lists!$U$3:$Y$5,MATCH(G240,Lists!$T$3:$T$5,0),MATCH(H240,Lists!$U$2:$Y$2,0)),"Check inputs"))</f>
        <v/>
      </c>
      <c r="J240" s="20"/>
      <c r="K240" s="20"/>
      <c r="L240" s="20"/>
      <c r="M240" s="20"/>
      <c r="N240" s="21"/>
      <c r="O240" s="20"/>
      <c r="P240" s="20"/>
    </row>
    <row r="241" customFormat="false" ht="15" hidden="false" customHeight="false" outlineLevel="0" collapsed="false">
      <c r="A241" s="20"/>
      <c r="B241" s="20"/>
      <c r="C241" s="20"/>
      <c r="D241" s="20"/>
      <c r="E241" s="20"/>
      <c r="F241" s="20"/>
      <c r="G241" s="20"/>
      <c r="H241" s="20"/>
      <c r="I241" s="27" t="str">
        <f aca="false">IF(OR(G241="",H241=""),"",IFERROR(INDEX(Lists!$U$3:$Y$5,MATCH(G241,Lists!$T$3:$T$5,0),MATCH(H241,Lists!$U$2:$Y$2,0)),"Check inputs"))</f>
        <v/>
      </c>
      <c r="J241" s="20"/>
      <c r="K241" s="20"/>
      <c r="L241" s="20"/>
      <c r="M241" s="20"/>
      <c r="N241" s="21"/>
      <c r="O241" s="20"/>
      <c r="P241" s="20"/>
    </row>
    <row r="242" customFormat="false" ht="15" hidden="false" customHeight="false" outlineLevel="0" collapsed="false">
      <c r="A242" s="20"/>
      <c r="B242" s="20"/>
      <c r="C242" s="20"/>
      <c r="D242" s="20"/>
      <c r="E242" s="20"/>
      <c r="F242" s="20"/>
      <c r="G242" s="20"/>
      <c r="H242" s="20"/>
      <c r="I242" s="27" t="str">
        <f aca="false">IF(OR(G242="",H242=""),"",IFERROR(INDEX(Lists!$U$3:$Y$5,MATCH(G242,Lists!$T$3:$T$5,0),MATCH(H242,Lists!$U$2:$Y$2,0)),"Check inputs"))</f>
        <v/>
      </c>
      <c r="J242" s="20"/>
      <c r="K242" s="20"/>
      <c r="L242" s="20"/>
      <c r="M242" s="20"/>
      <c r="N242" s="21"/>
      <c r="O242" s="20"/>
      <c r="P242" s="20"/>
    </row>
    <row r="243" customFormat="false" ht="15" hidden="false" customHeight="false" outlineLevel="0" collapsed="false">
      <c r="A243" s="20"/>
      <c r="B243" s="20"/>
      <c r="C243" s="20"/>
      <c r="D243" s="20"/>
      <c r="E243" s="20"/>
      <c r="F243" s="20"/>
      <c r="G243" s="20"/>
      <c r="H243" s="20"/>
      <c r="I243" s="27" t="str">
        <f aca="false">IF(OR(G243="",H243=""),"",IFERROR(INDEX(Lists!$U$3:$Y$5,MATCH(G243,Lists!$T$3:$T$5,0),MATCH(H243,Lists!$U$2:$Y$2,0)),"Check inputs"))</f>
        <v/>
      </c>
      <c r="J243" s="20"/>
      <c r="K243" s="20"/>
      <c r="L243" s="20"/>
      <c r="M243" s="20"/>
      <c r="N243" s="21"/>
      <c r="O243" s="20"/>
      <c r="P243" s="20"/>
    </row>
    <row r="244" customFormat="false" ht="15" hidden="false" customHeight="false" outlineLevel="0" collapsed="false">
      <c r="A244" s="20"/>
      <c r="B244" s="20"/>
      <c r="C244" s="20"/>
      <c r="D244" s="20"/>
      <c r="E244" s="20"/>
      <c r="F244" s="20"/>
      <c r="G244" s="20"/>
      <c r="H244" s="20"/>
      <c r="I244" s="27" t="str">
        <f aca="false">IF(OR(G244="",H244=""),"",IFERROR(INDEX(Lists!$U$3:$Y$5,MATCH(G244,Lists!$T$3:$T$5,0),MATCH(H244,Lists!$U$2:$Y$2,0)),"Check inputs"))</f>
        <v/>
      </c>
      <c r="J244" s="20"/>
      <c r="K244" s="20"/>
      <c r="L244" s="20"/>
      <c r="M244" s="20"/>
      <c r="N244" s="21"/>
      <c r="O244" s="20"/>
      <c r="P244" s="20"/>
    </row>
    <row r="245" customFormat="false" ht="15" hidden="false" customHeight="false" outlineLevel="0" collapsed="false">
      <c r="A245" s="20"/>
      <c r="B245" s="20"/>
      <c r="C245" s="20"/>
      <c r="D245" s="20"/>
      <c r="E245" s="20"/>
      <c r="F245" s="20"/>
      <c r="G245" s="20"/>
      <c r="H245" s="20"/>
      <c r="I245" s="27" t="str">
        <f aca="false">IF(OR(G245="",H245=""),"",IFERROR(INDEX(Lists!$U$3:$Y$5,MATCH(G245,Lists!$T$3:$T$5,0),MATCH(H245,Lists!$U$2:$Y$2,0)),"Check inputs"))</f>
        <v/>
      </c>
      <c r="J245" s="20"/>
      <c r="K245" s="20"/>
      <c r="L245" s="20"/>
      <c r="M245" s="20"/>
      <c r="N245" s="21"/>
      <c r="O245" s="20"/>
      <c r="P245" s="20"/>
    </row>
    <row r="246" customFormat="false" ht="15" hidden="false" customHeight="false" outlineLevel="0" collapsed="false">
      <c r="A246" s="20"/>
      <c r="B246" s="20"/>
      <c r="C246" s="20"/>
      <c r="D246" s="20"/>
      <c r="E246" s="20"/>
      <c r="F246" s="20"/>
      <c r="G246" s="20"/>
      <c r="H246" s="20"/>
      <c r="I246" s="27" t="str">
        <f aca="false">IF(OR(G246="",H246=""),"",IFERROR(INDEX(Lists!$U$3:$Y$5,MATCH(G246,Lists!$T$3:$T$5,0),MATCH(H246,Lists!$U$2:$Y$2,0)),"Check inputs"))</f>
        <v/>
      </c>
      <c r="J246" s="20"/>
      <c r="K246" s="20"/>
      <c r="L246" s="20"/>
      <c r="M246" s="20"/>
      <c r="N246" s="21"/>
      <c r="O246" s="20"/>
      <c r="P246" s="20"/>
    </row>
    <row r="247" customFormat="false" ht="15" hidden="false" customHeight="false" outlineLevel="0" collapsed="false">
      <c r="A247" s="20"/>
      <c r="B247" s="20"/>
      <c r="C247" s="20"/>
      <c r="D247" s="20"/>
      <c r="E247" s="20"/>
      <c r="F247" s="20"/>
      <c r="G247" s="20"/>
      <c r="H247" s="20"/>
      <c r="I247" s="27" t="str">
        <f aca="false">IF(OR(G247="",H247=""),"",IFERROR(INDEX(Lists!$U$3:$Y$5,MATCH(G247,Lists!$T$3:$T$5,0),MATCH(H247,Lists!$U$2:$Y$2,0)),"Check inputs"))</f>
        <v/>
      </c>
      <c r="J247" s="20"/>
      <c r="K247" s="20"/>
      <c r="L247" s="20"/>
      <c r="M247" s="20"/>
      <c r="N247" s="21"/>
      <c r="O247" s="20"/>
      <c r="P247" s="20"/>
    </row>
    <row r="248" customFormat="false" ht="15" hidden="false" customHeight="false" outlineLevel="0" collapsed="false">
      <c r="A248" s="20"/>
      <c r="B248" s="20"/>
      <c r="C248" s="20"/>
      <c r="D248" s="20"/>
      <c r="E248" s="20"/>
      <c r="F248" s="20"/>
      <c r="G248" s="20"/>
      <c r="H248" s="20"/>
      <c r="I248" s="27" t="str">
        <f aca="false">IF(OR(G248="",H248=""),"",IFERROR(INDEX(Lists!$U$3:$Y$5,MATCH(G248,Lists!$T$3:$T$5,0),MATCH(H248,Lists!$U$2:$Y$2,0)),"Check inputs"))</f>
        <v/>
      </c>
      <c r="J248" s="20"/>
      <c r="K248" s="20"/>
      <c r="L248" s="20"/>
      <c r="M248" s="20"/>
      <c r="N248" s="21"/>
      <c r="O248" s="20"/>
      <c r="P248" s="20"/>
    </row>
    <row r="249" customFormat="false" ht="15" hidden="false" customHeight="false" outlineLevel="0" collapsed="false">
      <c r="A249" s="20"/>
      <c r="B249" s="20"/>
      <c r="C249" s="20"/>
      <c r="D249" s="20"/>
      <c r="E249" s="20"/>
      <c r="F249" s="20"/>
      <c r="G249" s="20"/>
      <c r="H249" s="20"/>
      <c r="I249" s="27" t="str">
        <f aca="false">IF(OR(G249="",H249=""),"",IFERROR(INDEX(Lists!$U$3:$Y$5,MATCH(G249,Lists!$T$3:$T$5,0),MATCH(H249,Lists!$U$2:$Y$2,0)),"Check inputs"))</f>
        <v/>
      </c>
      <c r="J249" s="20"/>
      <c r="K249" s="20"/>
      <c r="L249" s="20"/>
      <c r="M249" s="20"/>
      <c r="N249" s="21"/>
      <c r="O249" s="20"/>
      <c r="P249" s="20"/>
    </row>
    <row r="250" customFormat="false" ht="15" hidden="false" customHeight="false" outlineLevel="0" collapsed="false">
      <c r="A250" s="20"/>
      <c r="B250" s="20"/>
      <c r="C250" s="20"/>
      <c r="D250" s="20"/>
      <c r="E250" s="20"/>
      <c r="F250" s="20"/>
      <c r="G250" s="20"/>
      <c r="H250" s="20"/>
      <c r="I250" s="27" t="str">
        <f aca="false">IF(OR(G250="",H250=""),"",IFERROR(INDEX(Lists!$U$3:$Y$5,MATCH(G250,Lists!$T$3:$T$5,0),MATCH(H250,Lists!$U$2:$Y$2,0)),"Check inputs"))</f>
        <v/>
      </c>
      <c r="J250" s="20"/>
      <c r="K250" s="20"/>
      <c r="L250" s="20"/>
      <c r="M250" s="20"/>
      <c r="N250" s="21"/>
      <c r="O250" s="20"/>
      <c r="P250" s="20"/>
    </row>
    <row r="251" customFormat="false" ht="15" hidden="false" customHeight="false" outlineLevel="0" collapsed="false">
      <c r="A251" s="20"/>
      <c r="B251" s="20"/>
      <c r="C251" s="20"/>
      <c r="D251" s="20"/>
      <c r="E251" s="20"/>
      <c r="F251" s="20"/>
      <c r="G251" s="20"/>
      <c r="H251" s="20"/>
      <c r="I251" s="27" t="str">
        <f aca="false">IF(OR(G251="",H251=""),"",IFERROR(INDEX(Lists!$U$3:$Y$5,MATCH(G251,Lists!$T$3:$T$5,0),MATCH(H251,Lists!$U$2:$Y$2,0)),"Check inputs"))</f>
        <v/>
      </c>
      <c r="J251" s="20"/>
      <c r="K251" s="20"/>
      <c r="L251" s="20"/>
      <c r="M251" s="20"/>
      <c r="N251" s="21"/>
      <c r="O251" s="20"/>
      <c r="P251" s="20"/>
    </row>
    <row r="252" customFormat="false" ht="15" hidden="false" customHeight="false" outlineLevel="0" collapsed="false">
      <c r="A252" s="20"/>
      <c r="B252" s="20"/>
      <c r="C252" s="20"/>
      <c r="D252" s="20"/>
      <c r="E252" s="20"/>
      <c r="F252" s="20"/>
      <c r="G252" s="20"/>
      <c r="H252" s="20"/>
      <c r="I252" s="27" t="str">
        <f aca="false">IF(OR(G252="",H252=""),"",IFERROR(INDEX(Lists!$U$3:$Y$5,MATCH(G252,Lists!$T$3:$T$5,0),MATCH(H252,Lists!$U$2:$Y$2,0)),"Check inputs"))</f>
        <v/>
      </c>
      <c r="J252" s="20"/>
      <c r="K252" s="20"/>
      <c r="L252" s="20"/>
      <c r="M252" s="20"/>
      <c r="N252" s="21"/>
      <c r="O252" s="20"/>
      <c r="P252" s="20"/>
    </row>
    <row r="253" customFormat="false" ht="15" hidden="false" customHeight="false" outlineLevel="0" collapsed="false">
      <c r="A253" s="20"/>
      <c r="B253" s="20"/>
      <c r="C253" s="20"/>
      <c r="D253" s="20"/>
      <c r="E253" s="20"/>
      <c r="F253" s="20"/>
      <c r="G253" s="20"/>
      <c r="H253" s="20"/>
      <c r="I253" s="27" t="str">
        <f aca="false">IF(OR(G253="",H253=""),"",IFERROR(INDEX(Lists!$U$3:$Y$5,MATCH(G253,Lists!$T$3:$T$5,0),MATCH(H253,Lists!$U$2:$Y$2,0)),"Check inputs"))</f>
        <v/>
      </c>
      <c r="J253" s="20"/>
      <c r="K253" s="20"/>
      <c r="L253" s="20"/>
      <c r="M253" s="20"/>
      <c r="N253" s="21"/>
      <c r="O253" s="20"/>
      <c r="P253" s="20"/>
    </row>
    <row r="254" customFormat="false" ht="15" hidden="false" customHeight="false" outlineLevel="0" collapsed="false">
      <c r="A254" s="20"/>
      <c r="B254" s="20"/>
      <c r="C254" s="20"/>
      <c r="D254" s="20"/>
      <c r="E254" s="20"/>
      <c r="F254" s="20"/>
      <c r="G254" s="20"/>
      <c r="H254" s="20"/>
      <c r="I254" s="27" t="str">
        <f aca="false">IF(OR(G254="",H254=""),"",IFERROR(INDEX(Lists!$U$3:$Y$5,MATCH(G254,Lists!$T$3:$T$5,0),MATCH(H254,Lists!$U$2:$Y$2,0)),"Check inputs"))</f>
        <v/>
      </c>
      <c r="J254" s="20"/>
      <c r="K254" s="20"/>
      <c r="L254" s="20"/>
      <c r="M254" s="20"/>
      <c r="N254" s="21"/>
      <c r="O254" s="20"/>
      <c r="P254" s="20"/>
    </row>
    <row r="255" customFormat="false" ht="15" hidden="false" customHeight="false" outlineLevel="0" collapsed="false">
      <c r="A255" s="20"/>
      <c r="B255" s="20"/>
      <c r="C255" s="20"/>
      <c r="D255" s="20"/>
      <c r="E255" s="20"/>
      <c r="F255" s="20"/>
      <c r="G255" s="20"/>
      <c r="H255" s="20"/>
      <c r="I255" s="27" t="str">
        <f aca="false">IF(OR(G255="",H255=""),"",IFERROR(INDEX(Lists!$U$3:$Y$5,MATCH(G255,Lists!$T$3:$T$5,0),MATCH(H255,Lists!$U$2:$Y$2,0)),"Check inputs"))</f>
        <v/>
      </c>
      <c r="J255" s="20"/>
      <c r="K255" s="20"/>
      <c r="L255" s="20"/>
      <c r="M255" s="20"/>
      <c r="N255" s="21"/>
      <c r="O255" s="20"/>
      <c r="P255" s="20"/>
    </row>
    <row r="256" customFormat="false" ht="15" hidden="false" customHeight="false" outlineLevel="0" collapsed="false">
      <c r="A256" s="20"/>
      <c r="B256" s="20"/>
      <c r="C256" s="20"/>
      <c r="D256" s="20"/>
      <c r="E256" s="20"/>
      <c r="F256" s="20"/>
      <c r="G256" s="20"/>
      <c r="H256" s="20"/>
      <c r="I256" s="27" t="str">
        <f aca="false">IF(OR(G256="",H256=""),"",IFERROR(INDEX(Lists!$U$3:$Y$5,MATCH(G256,Lists!$T$3:$T$5,0),MATCH(H256,Lists!$U$2:$Y$2,0)),"Check inputs"))</f>
        <v/>
      </c>
      <c r="J256" s="20"/>
      <c r="K256" s="20"/>
      <c r="L256" s="20"/>
      <c r="M256" s="20"/>
      <c r="N256" s="21"/>
      <c r="O256" s="20"/>
      <c r="P256" s="20"/>
    </row>
    <row r="257" customFormat="false" ht="15" hidden="false" customHeight="false" outlineLevel="0" collapsed="false">
      <c r="A257" s="20"/>
      <c r="B257" s="20"/>
      <c r="C257" s="20"/>
      <c r="D257" s="20"/>
      <c r="E257" s="20"/>
      <c r="F257" s="20"/>
      <c r="G257" s="20"/>
      <c r="H257" s="20"/>
      <c r="I257" s="27" t="str">
        <f aca="false">IF(OR(G257="",H257=""),"",IFERROR(INDEX(Lists!$U$3:$Y$5,MATCH(G257,Lists!$T$3:$T$5,0),MATCH(H257,Lists!$U$2:$Y$2,0)),"Check inputs"))</f>
        <v/>
      </c>
      <c r="J257" s="20"/>
      <c r="K257" s="20"/>
      <c r="L257" s="20"/>
      <c r="M257" s="20"/>
      <c r="N257" s="21"/>
      <c r="O257" s="20"/>
      <c r="P257" s="20"/>
    </row>
    <row r="258" customFormat="false" ht="15" hidden="false" customHeight="false" outlineLevel="0" collapsed="false">
      <c r="A258" s="20"/>
      <c r="B258" s="20"/>
      <c r="C258" s="20"/>
      <c r="D258" s="20"/>
      <c r="E258" s="20"/>
      <c r="F258" s="20"/>
      <c r="G258" s="20"/>
      <c r="H258" s="20"/>
      <c r="I258" s="27" t="str">
        <f aca="false">IF(OR(G258="",H258=""),"",IFERROR(INDEX(Lists!$U$3:$Y$5,MATCH(G258,Lists!$T$3:$T$5,0),MATCH(H258,Lists!$U$2:$Y$2,0)),"Check inputs"))</f>
        <v/>
      </c>
      <c r="J258" s="20"/>
      <c r="K258" s="20"/>
      <c r="L258" s="20"/>
      <c r="M258" s="20"/>
      <c r="N258" s="21"/>
      <c r="O258" s="20"/>
      <c r="P258" s="20"/>
    </row>
    <row r="259" customFormat="false" ht="15" hidden="false" customHeight="false" outlineLevel="0" collapsed="false">
      <c r="A259" s="20"/>
      <c r="B259" s="20"/>
      <c r="C259" s="20"/>
      <c r="D259" s="20"/>
      <c r="E259" s="20"/>
      <c r="F259" s="20"/>
      <c r="G259" s="20"/>
      <c r="H259" s="20"/>
      <c r="I259" s="27" t="str">
        <f aca="false">IF(OR(G259="",H259=""),"",IFERROR(INDEX(Lists!$U$3:$Y$5,MATCH(G259,Lists!$T$3:$T$5,0),MATCH(H259,Lists!$U$2:$Y$2,0)),"Check inputs"))</f>
        <v/>
      </c>
      <c r="J259" s="20"/>
      <c r="K259" s="20"/>
      <c r="L259" s="20"/>
      <c r="M259" s="20"/>
      <c r="N259" s="21"/>
      <c r="O259" s="20"/>
      <c r="P259" s="20"/>
    </row>
    <row r="260" customFormat="false" ht="15" hidden="false" customHeight="false" outlineLevel="0" collapsed="false">
      <c r="A260" s="20"/>
      <c r="B260" s="20"/>
      <c r="C260" s="20"/>
      <c r="D260" s="20"/>
      <c r="E260" s="20"/>
      <c r="F260" s="20"/>
      <c r="G260" s="20"/>
      <c r="H260" s="20"/>
      <c r="I260" s="27" t="str">
        <f aca="false">IF(OR(G260="",H260=""),"",IFERROR(INDEX(Lists!$U$3:$Y$5,MATCH(G260,Lists!$T$3:$T$5,0),MATCH(H260,Lists!$U$2:$Y$2,0)),"Check inputs"))</f>
        <v/>
      </c>
      <c r="J260" s="20"/>
      <c r="K260" s="20"/>
      <c r="L260" s="20"/>
      <c r="M260" s="20"/>
      <c r="N260" s="21"/>
      <c r="O260" s="20"/>
      <c r="P260" s="20"/>
    </row>
    <row r="261" customFormat="false" ht="15" hidden="false" customHeight="false" outlineLevel="0" collapsed="false">
      <c r="A261" s="20"/>
      <c r="B261" s="20"/>
      <c r="C261" s="20"/>
      <c r="D261" s="20"/>
      <c r="E261" s="20"/>
      <c r="F261" s="20"/>
      <c r="G261" s="20"/>
      <c r="H261" s="20"/>
      <c r="I261" s="27" t="str">
        <f aca="false">IF(OR(G261="",H261=""),"",IFERROR(INDEX(Lists!$U$3:$Y$5,MATCH(G261,Lists!$T$3:$T$5,0),MATCH(H261,Lists!$U$2:$Y$2,0)),"Check inputs"))</f>
        <v/>
      </c>
      <c r="J261" s="20"/>
      <c r="K261" s="20"/>
      <c r="L261" s="20"/>
      <c r="M261" s="20"/>
      <c r="N261" s="21"/>
      <c r="O261" s="20"/>
      <c r="P261" s="20"/>
    </row>
    <row r="262" customFormat="false" ht="15" hidden="false" customHeight="false" outlineLevel="0" collapsed="false">
      <c r="A262" s="20"/>
      <c r="B262" s="20"/>
      <c r="C262" s="20"/>
      <c r="D262" s="20"/>
      <c r="E262" s="20"/>
      <c r="F262" s="20"/>
      <c r="G262" s="20"/>
      <c r="H262" s="20"/>
      <c r="I262" s="27" t="str">
        <f aca="false">IF(OR(G262="",H262=""),"",IFERROR(INDEX(Lists!$U$3:$Y$5,MATCH(G262,Lists!$T$3:$T$5,0),MATCH(H262,Lists!$U$2:$Y$2,0)),"Check inputs"))</f>
        <v/>
      </c>
      <c r="J262" s="20"/>
      <c r="K262" s="20"/>
      <c r="L262" s="20"/>
      <c r="M262" s="20"/>
      <c r="N262" s="21"/>
      <c r="O262" s="20"/>
      <c r="P262" s="20"/>
    </row>
    <row r="263" customFormat="false" ht="15" hidden="false" customHeight="false" outlineLevel="0" collapsed="false">
      <c r="A263" s="20"/>
      <c r="B263" s="20"/>
      <c r="C263" s="20"/>
      <c r="D263" s="20"/>
      <c r="E263" s="20"/>
      <c r="F263" s="20"/>
      <c r="G263" s="20"/>
      <c r="H263" s="20"/>
      <c r="I263" s="27" t="str">
        <f aca="false">IF(OR(G263="",H263=""),"",IFERROR(INDEX(Lists!$U$3:$Y$5,MATCH(G263,Lists!$T$3:$T$5,0),MATCH(H263,Lists!$U$2:$Y$2,0)),"Check inputs"))</f>
        <v/>
      </c>
      <c r="J263" s="20"/>
      <c r="K263" s="20"/>
      <c r="L263" s="20"/>
      <c r="M263" s="20"/>
      <c r="N263" s="21"/>
      <c r="O263" s="20"/>
      <c r="P263" s="20"/>
    </row>
    <row r="264" customFormat="false" ht="15" hidden="false" customHeight="false" outlineLevel="0" collapsed="false">
      <c r="A264" s="20"/>
      <c r="B264" s="20"/>
      <c r="C264" s="20"/>
      <c r="D264" s="20"/>
      <c r="E264" s="20"/>
      <c r="F264" s="20"/>
      <c r="G264" s="20"/>
      <c r="H264" s="20"/>
      <c r="I264" s="27" t="str">
        <f aca="false">IF(OR(G264="",H264=""),"",IFERROR(INDEX(Lists!$U$3:$Y$5,MATCH(G264,Lists!$T$3:$T$5,0),MATCH(H264,Lists!$U$2:$Y$2,0)),"Check inputs"))</f>
        <v/>
      </c>
      <c r="J264" s="20"/>
      <c r="K264" s="20"/>
      <c r="L264" s="20"/>
      <c r="M264" s="20"/>
      <c r="N264" s="21"/>
      <c r="O264" s="20"/>
      <c r="P264" s="20"/>
    </row>
    <row r="265" customFormat="false" ht="15" hidden="false" customHeight="false" outlineLevel="0" collapsed="false">
      <c r="A265" s="20"/>
      <c r="B265" s="20"/>
      <c r="C265" s="20"/>
      <c r="D265" s="20"/>
      <c r="E265" s="20"/>
      <c r="F265" s="20"/>
      <c r="G265" s="20"/>
      <c r="H265" s="20"/>
      <c r="I265" s="27" t="str">
        <f aca="false">IF(OR(G265="",H265=""),"",IFERROR(INDEX(Lists!$U$3:$Y$5,MATCH(G265,Lists!$T$3:$T$5,0),MATCH(H265,Lists!$U$2:$Y$2,0)),"Check inputs"))</f>
        <v/>
      </c>
      <c r="J265" s="20"/>
      <c r="K265" s="20"/>
      <c r="L265" s="20"/>
      <c r="M265" s="20"/>
      <c r="N265" s="21"/>
      <c r="O265" s="20"/>
      <c r="P265" s="20"/>
    </row>
    <row r="266" customFormat="false" ht="15" hidden="false" customHeight="false" outlineLevel="0" collapsed="false">
      <c r="A266" s="20"/>
      <c r="B266" s="20"/>
      <c r="C266" s="20"/>
      <c r="D266" s="20"/>
      <c r="E266" s="20"/>
      <c r="F266" s="20"/>
      <c r="G266" s="20"/>
      <c r="H266" s="20"/>
      <c r="I266" s="27" t="str">
        <f aca="false">IF(OR(G266="",H266=""),"",IFERROR(INDEX(Lists!$U$3:$Y$5,MATCH(G266,Lists!$T$3:$T$5,0),MATCH(H266,Lists!$U$2:$Y$2,0)),"Check inputs"))</f>
        <v/>
      </c>
      <c r="J266" s="20"/>
      <c r="K266" s="20"/>
      <c r="L266" s="20"/>
      <c r="M266" s="20"/>
      <c r="N266" s="21"/>
      <c r="O266" s="20"/>
      <c r="P266" s="20"/>
    </row>
    <row r="267" customFormat="false" ht="15" hidden="false" customHeight="false" outlineLevel="0" collapsed="false">
      <c r="A267" s="20"/>
      <c r="B267" s="20"/>
      <c r="C267" s="20"/>
      <c r="D267" s="20"/>
      <c r="E267" s="20"/>
      <c r="F267" s="20"/>
      <c r="G267" s="20"/>
      <c r="H267" s="20"/>
      <c r="I267" s="27" t="str">
        <f aca="false">IF(OR(G267="",H267=""),"",IFERROR(INDEX(Lists!$U$3:$Y$5,MATCH(G267,Lists!$T$3:$T$5,0),MATCH(H267,Lists!$U$2:$Y$2,0)),"Check inputs"))</f>
        <v/>
      </c>
      <c r="J267" s="20"/>
      <c r="K267" s="20"/>
      <c r="L267" s="20"/>
      <c r="M267" s="20"/>
      <c r="N267" s="21"/>
      <c r="O267" s="20"/>
      <c r="P267" s="20"/>
    </row>
    <row r="268" customFormat="false" ht="15" hidden="false" customHeight="false" outlineLevel="0" collapsed="false">
      <c r="A268" s="20"/>
      <c r="B268" s="20"/>
      <c r="C268" s="20"/>
      <c r="D268" s="20"/>
      <c r="E268" s="20"/>
      <c r="F268" s="20"/>
      <c r="G268" s="20"/>
      <c r="H268" s="20"/>
      <c r="I268" s="27" t="str">
        <f aca="false">IF(OR(G268="",H268=""),"",IFERROR(INDEX(Lists!$U$3:$Y$5,MATCH(G268,Lists!$T$3:$T$5,0),MATCH(H268,Lists!$U$2:$Y$2,0)),"Check inputs"))</f>
        <v/>
      </c>
      <c r="J268" s="20"/>
      <c r="K268" s="20"/>
      <c r="L268" s="20"/>
      <c r="M268" s="20"/>
      <c r="N268" s="21"/>
      <c r="O268" s="20"/>
      <c r="P268" s="20"/>
    </row>
    <row r="269" customFormat="false" ht="15" hidden="false" customHeight="false" outlineLevel="0" collapsed="false">
      <c r="A269" s="20"/>
      <c r="B269" s="20"/>
      <c r="C269" s="20"/>
      <c r="D269" s="20"/>
      <c r="E269" s="20"/>
      <c r="F269" s="20"/>
      <c r="G269" s="20"/>
      <c r="H269" s="20"/>
      <c r="I269" s="27" t="str">
        <f aca="false">IF(OR(G269="",H269=""),"",IFERROR(INDEX(Lists!$U$3:$Y$5,MATCH(G269,Lists!$T$3:$T$5,0),MATCH(H269,Lists!$U$2:$Y$2,0)),"Check inputs"))</f>
        <v/>
      </c>
      <c r="J269" s="20"/>
      <c r="K269" s="20"/>
      <c r="L269" s="20"/>
      <c r="M269" s="20"/>
      <c r="N269" s="21"/>
      <c r="O269" s="20"/>
      <c r="P269" s="20"/>
    </row>
    <row r="270" customFormat="false" ht="15" hidden="false" customHeight="false" outlineLevel="0" collapsed="false">
      <c r="A270" s="20"/>
      <c r="B270" s="20"/>
      <c r="C270" s="20"/>
      <c r="D270" s="20"/>
      <c r="E270" s="20"/>
      <c r="F270" s="20"/>
      <c r="G270" s="20"/>
      <c r="H270" s="20"/>
      <c r="I270" s="27" t="str">
        <f aca="false">IF(OR(G270="",H270=""),"",IFERROR(INDEX(Lists!$U$3:$Y$5,MATCH(G270,Lists!$T$3:$T$5,0),MATCH(H270,Lists!$U$2:$Y$2,0)),"Check inputs"))</f>
        <v/>
      </c>
      <c r="J270" s="20"/>
      <c r="K270" s="20"/>
      <c r="L270" s="20"/>
      <c r="M270" s="20"/>
      <c r="N270" s="21"/>
      <c r="O270" s="20"/>
      <c r="P270" s="20"/>
    </row>
    <row r="271" customFormat="false" ht="15" hidden="false" customHeight="false" outlineLevel="0" collapsed="false">
      <c r="A271" s="20"/>
      <c r="B271" s="20"/>
      <c r="C271" s="20"/>
      <c r="D271" s="20"/>
      <c r="E271" s="20"/>
      <c r="F271" s="20"/>
      <c r="G271" s="20"/>
      <c r="H271" s="20"/>
      <c r="I271" s="27" t="str">
        <f aca="false">IF(OR(G271="",H271=""),"",IFERROR(INDEX(Lists!$U$3:$Y$5,MATCH(G271,Lists!$T$3:$T$5,0),MATCH(H271,Lists!$U$2:$Y$2,0)),"Check inputs"))</f>
        <v/>
      </c>
      <c r="J271" s="20"/>
      <c r="K271" s="20"/>
      <c r="L271" s="20"/>
      <c r="M271" s="20"/>
      <c r="N271" s="21"/>
      <c r="O271" s="20"/>
      <c r="P271" s="20"/>
    </row>
    <row r="272" customFormat="false" ht="15" hidden="false" customHeight="false" outlineLevel="0" collapsed="false">
      <c r="A272" s="20"/>
      <c r="B272" s="20"/>
      <c r="C272" s="20"/>
      <c r="D272" s="20"/>
      <c r="E272" s="20"/>
      <c r="F272" s="20"/>
      <c r="G272" s="20"/>
      <c r="H272" s="20"/>
      <c r="I272" s="27" t="str">
        <f aca="false">IF(OR(G272="",H272=""),"",IFERROR(INDEX(Lists!$U$3:$Y$5,MATCH(G272,Lists!$T$3:$T$5,0),MATCH(H272,Lists!$U$2:$Y$2,0)),"Check inputs"))</f>
        <v/>
      </c>
      <c r="J272" s="20"/>
      <c r="K272" s="20"/>
      <c r="L272" s="20"/>
      <c r="M272" s="20"/>
      <c r="N272" s="21"/>
      <c r="O272" s="20"/>
      <c r="P272" s="20"/>
    </row>
    <row r="273" customFormat="false" ht="15" hidden="false" customHeight="false" outlineLevel="0" collapsed="false">
      <c r="A273" s="20"/>
      <c r="B273" s="20"/>
      <c r="C273" s="20"/>
      <c r="D273" s="20"/>
      <c r="E273" s="20"/>
      <c r="F273" s="20"/>
      <c r="G273" s="20"/>
      <c r="H273" s="20"/>
      <c r="I273" s="27" t="str">
        <f aca="false">IF(OR(G273="",H273=""),"",IFERROR(INDEX(Lists!$U$3:$Y$5,MATCH(G273,Lists!$T$3:$T$5,0),MATCH(H273,Lists!$U$2:$Y$2,0)),"Check inputs"))</f>
        <v/>
      </c>
      <c r="J273" s="20"/>
      <c r="K273" s="20"/>
      <c r="L273" s="20"/>
      <c r="M273" s="20"/>
      <c r="N273" s="21"/>
      <c r="O273" s="20"/>
      <c r="P273" s="20"/>
    </row>
    <row r="274" customFormat="false" ht="15" hidden="false" customHeight="false" outlineLevel="0" collapsed="false">
      <c r="A274" s="20"/>
      <c r="B274" s="20"/>
      <c r="C274" s="20"/>
      <c r="D274" s="20"/>
      <c r="E274" s="20"/>
      <c r="F274" s="20"/>
      <c r="G274" s="20"/>
      <c r="H274" s="20"/>
      <c r="I274" s="27" t="str">
        <f aca="false">IF(OR(G274="",H274=""),"",IFERROR(INDEX(Lists!$U$3:$Y$5,MATCH(G274,Lists!$T$3:$T$5,0),MATCH(H274,Lists!$U$2:$Y$2,0)),"Check inputs"))</f>
        <v/>
      </c>
      <c r="J274" s="20"/>
      <c r="K274" s="20"/>
      <c r="L274" s="20"/>
      <c r="M274" s="20"/>
      <c r="N274" s="21"/>
      <c r="O274" s="20"/>
      <c r="P274" s="20"/>
    </row>
    <row r="275" customFormat="false" ht="15" hidden="false" customHeight="false" outlineLevel="0" collapsed="false">
      <c r="A275" s="20"/>
      <c r="B275" s="20"/>
      <c r="C275" s="20"/>
      <c r="D275" s="20"/>
      <c r="E275" s="20"/>
      <c r="F275" s="20"/>
      <c r="G275" s="20"/>
      <c r="H275" s="20"/>
      <c r="I275" s="27" t="str">
        <f aca="false">IF(OR(G275="",H275=""),"",IFERROR(INDEX(Lists!$U$3:$Y$5,MATCH(G275,Lists!$T$3:$T$5,0),MATCH(H275,Lists!$U$2:$Y$2,0)),"Check inputs"))</f>
        <v/>
      </c>
      <c r="J275" s="20"/>
      <c r="K275" s="20"/>
      <c r="L275" s="20"/>
      <c r="M275" s="20"/>
      <c r="N275" s="21"/>
      <c r="O275" s="20"/>
      <c r="P275" s="20"/>
    </row>
    <row r="276" customFormat="false" ht="15" hidden="false" customHeight="false" outlineLevel="0" collapsed="false">
      <c r="A276" s="20"/>
      <c r="B276" s="20"/>
      <c r="C276" s="20"/>
      <c r="D276" s="20"/>
      <c r="E276" s="20"/>
      <c r="F276" s="20"/>
      <c r="G276" s="20"/>
      <c r="H276" s="20"/>
      <c r="I276" s="27" t="str">
        <f aca="false">IF(OR(G276="",H276=""),"",IFERROR(INDEX(Lists!$U$3:$Y$5,MATCH(G276,Lists!$T$3:$T$5,0),MATCH(H276,Lists!$U$2:$Y$2,0)),"Check inputs"))</f>
        <v/>
      </c>
      <c r="J276" s="20"/>
      <c r="K276" s="20"/>
      <c r="L276" s="20"/>
      <c r="M276" s="20"/>
      <c r="N276" s="21"/>
      <c r="O276" s="20"/>
      <c r="P276" s="20"/>
    </row>
    <row r="277" customFormat="false" ht="15" hidden="false" customHeight="false" outlineLevel="0" collapsed="false">
      <c r="A277" s="20"/>
      <c r="B277" s="20"/>
      <c r="C277" s="20"/>
      <c r="D277" s="20"/>
      <c r="E277" s="20"/>
      <c r="F277" s="20"/>
      <c r="G277" s="20"/>
      <c r="H277" s="20"/>
      <c r="I277" s="27" t="str">
        <f aca="false">IF(OR(G277="",H277=""),"",IFERROR(INDEX(Lists!$U$3:$Y$5,MATCH(G277,Lists!$T$3:$T$5,0),MATCH(H277,Lists!$U$2:$Y$2,0)),"Check inputs"))</f>
        <v/>
      </c>
      <c r="J277" s="20"/>
      <c r="K277" s="20"/>
      <c r="L277" s="20"/>
      <c r="M277" s="20"/>
      <c r="N277" s="21"/>
      <c r="O277" s="20"/>
      <c r="P277" s="20"/>
    </row>
    <row r="278" customFormat="false" ht="15" hidden="false" customHeight="false" outlineLevel="0" collapsed="false">
      <c r="A278" s="20"/>
      <c r="B278" s="20"/>
      <c r="C278" s="20"/>
      <c r="D278" s="20"/>
      <c r="E278" s="20"/>
      <c r="F278" s="20"/>
      <c r="G278" s="20"/>
      <c r="H278" s="20"/>
      <c r="I278" s="27" t="str">
        <f aca="false">IF(OR(G278="",H278=""),"",IFERROR(INDEX(Lists!$U$3:$Y$5,MATCH(G278,Lists!$T$3:$T$5,0),MATCH(H278,Lists!$U$2:$Y$2,0)),"Check inputs"))</f>
        <v/>
      </c>
      <c r="J278" s="20"/>
      <c r="K278" s="20"/>
      <c r="L278" s="20"/>
      <c r="M278" s="20"/>
      <c r="N278" s="21"/>
      <c r="O278" s="20"/>
      <c r="P278" s="20"/>
    </row>
    <row r="279" customFormat="false" ht="15" hidden="false" customHeight="false" outlineLevel="0" collapsed="false">
      <c r="A279" s="20"/>
      <c r="B279" s="20"/>
      <c r="C279" s="20"/>
      <c r="D279" s="20"/>
      <c r="E279" s="20"/>
      <c r="F279" s="20"/>
      <c r="G279" s="20"/>
      <c r="H279" s="20"/>
      <c r="I279" s="27" t="str">
        <f aca="false">IF(OR(G279="",H279=""),"",IFERROR(INDEX(Lists!$U$3:$Y$5,MATCH(G279,Lists!$T$3:$T$5,0),MATCH(H279,Lists!$U$2:$Y$2,0)),"Check inputs"))</f>
        <v/>
      </c>
      <c r="J279" s="20"/>
      <c r="K279" s="20"/>
      <c r="L279" s="20"/>
      <c r="M279" s="20"/>
      <c r="N279" s="21"/>
      <c r="O279" s="20"/>
      <c r="P279" s="20"/>
    </row>
    <row r="280" customFormat="false" ht="15" hidden="false" customHeight="false" outlineLevel="0" collapsed="false">
      <c r="A280" s="20"/>
      <c r="B280" s="20"/>
      <c r="C280" s="20"/>
      <c r="D280" s="20"/>
      <c r="E280" s="20"/>
      <c r="F280" s="20"/>
      <c r="G280" s="20"/>
      <c r="H280" s="20"/>
      <c r="I280" s="27" t="str">
        <f aca="false">IF(OR(G280="",H280=""),"",IFERROR(INDEX(Lists!$U$3:$Y$5,MATCH(G280,Lists!$T$3:$T$5,0),MATCH(H280,Lists!$U$2:$Y$2,0)),"Check inputs"))</f>
        <v/>
      </c>
      <c r="J280" s="20"/>
      <c r="K280" s="20"/>
      <c r="L280" s="20"/>
      <c r="M280" s="20"/>
      <c r="N280" s="21"/>
      <c r="O280" s="20"/>
      <c r="P280" s="20"/>
    </row>
    <row r="281" customFormat="false" ht="15" hidden="false" customHeight="false" outlineLevel="0" collapsed="false">
      <c r="A281" s="20"/>
      <c r="B281" s="20"/>
      <c r="C281" s="20"/>
      <c r="D281" s="20"/>
      <c r="E281" s="20"/>
      <c r="F281" s="20"/>
      <c r="G281" s="20"/>
      <c r="H281" s="20"/>
      <c r="I281" s="27" t="str">
        <f aca="false">IF(OR(G281="",H281=""),"",IFERROR(INDEX(Lists!$U$3:$Y$5,MATCH(G281,Lists!$T$3:$T$5,0),MATCH(H281,Lists!$U$2:$Y$2,0)),"Check inputs"))</f>
        <v/>
      </c>
      <c r="J281" s="20"/>
      <c r="K281" s="20"/>
      <c r="L281" s="20"/>
      <c r="M281" s="20"/>
      <c r="N281" s="21"/>
      <c r="O281" s="20"/>
      <c r="P281" s="20"/>
    </row>
    <row r="282" customFormat="false" ht="15" hidden="false" customHeight="false" outlineLevel="0" collapsed="false">
      <c r="A282" s="20"/>
      <c r="B282" s="20"/>
      <c r="C282" s="20"/>
      <c r="D282" s="20"/>
      <c r="E282" s="20"/>
      <c r="F282" s="20"/>
      <c r="G282" s="20"/>
      <c r="H282" s="20"/>
      <c r="I282" s="27" t="str">
        <f aca="false">IF(OR(G282="",H282=""),"",IFERROR(INDEX(Lists!$U$3:$Y$5,MATCH(G282,Lists!$T$3:$T$5,0),MATCH(H282,Lists!$U$2:$Y$2,0)),"Check inputs"))</f>
        <v/>
      </c>
      <c r="J282" s="20"/>
      <c r="K282" s="20"/>
      <c r="L282" s="20"/>
      <c r="M282" s="20"/>
      <c r="N282" s="21"/>
      <c r="O282" s="20"/>
      <c r="P282" s="20"/>
    </row>
    <row r="283" customFormat="false" ht="15" hidden="false" customHeight="false" outlineLevel="0" collapsed="false">
      <c r="A283" s="20"/>
      <c r="B283" s="20"/>
      <c r="C283" s="20"/>
      <c r="D283" s="20"/>
      <c r="E283" s="20"/>
      <c r="F283" s="20"/>
      <c r="G283" s="20"/>
      <c r="H283" s="20"/>
      <c r="I283" s="27" t="str">
        <f aca="false">IF(OR(G283="",H283=""),"",IFERROR(INDEX(Lists!$U$3:$Y$5,MATCH(G283,Lists!$T$3:$T$5,0),MATCH(H283,Lists!$U$2:$Y$2,0)),"Check inputs"))</f>
        <v/>
      </c>
      <c r="J283" s="20"/>
      <c r="K283" s="20"/>
      <c r="L283" s="20"/>
      <c r="M283" s="20"/>
      <c r="N283" s="21"/>
      <c r="O283" s="20"/>
      <c r="P283" s="20"/>
    </row>
    <row r="284" customFormat="false" ht="15" hidden="false" customHeight="false" outlineLevel="0" collapsed="false">
      <c r="A284" s="20"/>
      <c r="B284" s="20"/>
      <c r="C284" s="20"/>
      <c r="D284" s="20"/>
      <c r="E284" s="20"/>
      <c r="F284" s="20"/>
      <c r="G284" s="20"/>
      <c r="H284" s="20"/>
      <c r="I284" s="27" t="str">
        <f aca="false">IF(OR(G284="",H284=""),"",IFERROR(INDEX(Lists!$U$3:$Y$5,MATCH(G284,Lists!$T$3:$T$5,0),MATCH(H284,Lists!$U$2:$Y$2,0)),"Check inputs"))</f>
        <v/>
      </c>
      <c r="J284" s="20"/>
      <c r="K284" s="20"/>
      <c r="L284" s="20"/>
      <c r="M284" s="20"/>
      <c r="N284" s="21"/>
      <c r="O284" s="20"/>
      <c r="P284" s="20"/>
    </row>
    <row r="285" customFormat="false" ht="15" hidden="false" customHeight="false" outlineLevel="0" collapsed="false">
      <c r="A285" s="20"/>
      <c r="B285" s="20"/>
      <c r="C285" s="20"/>
      <c r="D285" s="20"/>
      <c r="E285" s="20"/>
      <c r="F285" s="20"/>
      <c r="G285" s="20"/>
      <c r="H285" s="20"/>
      <c r="I285" s="27" t="str">
        <f aca="false">IF(OR(G285="",H285=""),"",IFERROR(INDEX(Lists!$U$3:$Y$5,MATCH(G285,Lists!$T$3:$T$5,0),MATCH(H285,Lists!$U$2:$Y$2,0)),"Check inputs"))</f>
        <v/>
      </c>
      <c r="J285" s="20"/>
      <c r="K285" s="20"/>
      <c r="L285" s="20"/>
      <c r="M285" s="20"/>
      <c r="N285" s="21"/>
      <c r="O285" s="20"/>
      <c r="P285" s="20"/>
    </row>
    <row r="286" customFormat="false" ht="15" hidden="false" customHeight="false" outlineLevel="0" collapsed="false">
      <c r="A286" s="20"/>
      <c r="B286" s="20"/>
      <c r="C286" s="20"/>
      <c r="D286" s="20"/>
      <c r="E286" s="20"/>
      <c r="F286" s="20"/>
      <c r="G286" s="20"/>
      <c r="H286" s="20"/>
      <c r="I286" s="27" t="str">
        <f aca="false">IF(OR(G286="",H286=""),"",IFERROR(INDEX(Lists!$U$3:$Y$5,MATCH(G286,Lists!$T$3:$T$5,0),MATCH(H286,Lists!$U$2:$Y$2,0)),"Check inputs"))</f>
        <v/>
      </c>
      <c r="J286" s="20"/>
      <c r="K286" s="20"/>
      <c r="L286" s="20"/>
      <c r="M286" s="20"/>
      <c r="N286" s="21"/>
      <c r="O286" s="20"/>
      <c r="P286" s="20"/>
    </row>
    <row r="287" customFormat="false" ht="15" hidden="false" customHeight="false" outlineLevel="0" collapsed="false">
      <c r="A287" s="20"/>
      <c r="B287" s="20"/>
      <c r="C287" s="20"/>
      <c r="D287" s="20"/>
      <c r="E287" s="20"/>
      <c r="F287" s="20"/>
      <c r="G287" s="20"/>
      <c r="H287" s="20"/>
      <c r="I287" s="27" t="str">
        <f aca="false">IF(OR(G287="",H287=""),"",IFERROR(INDEX(Lists!$U$3:$Y$5,MATCH(G287,Lists!$T$3:$T$5,0),MATCH(H287,Lists!$U$2:$Y$2,0)),"Check inputs"))</f>
        <v/>
      </c>
      <c r="J287" s="20"/>
      <c r="K287" s="20"/>
      <c r="L287" s="20"/>
      <c r="M287" s="20"/>
      <c r="N287" s="21"/>
      <c r="O287" s="20"/>
      <c r="P287" s="20"/>
    </row>
    <row r="288" customFormat="false" ht="15" hidden="false" customHeight="false" outlineLevel="0" collapsed="false">
      <c r="A288" s="20"/>
      <c r="B288" s="20"/>
      <c r="C288" s="20"/>
      <c r="D288" s="20"/>
      <c r="E288" s="20"/>
      <c r="F288" s="20"/>
      <c r="G288" s="20"/>
      <c r="H288" s="20"/>
      <c r="I288" s="27" t="str">
        <f aca="false">IF(OR(G288="",H288=""),"",IFERROR(INDEX(Lists!$U$3:$Y$5,MATCH(G288,Lists!$T$3:$T$5,0),MATCH(H288,Lists!$U$2:$Y$2,0)),"Check inputs"))</f>
        <v/>
      </c>
      <c r="J288" s="20"/>
      <c r="K288" s="20"/>
      <c r="L288" s="20"/>
      <c r="M288" s="20"/>
      <c r="N288" s="21"/>
      <c r="O288" s="20"/>
      <c r="P288" s="20"/>
    </row>
    <row r="289" customFormat="false" ht="15" hidden="false" customHeight="false" outlineLevel="0" collapsed="false">
      <c r="A289" s="20"/>
      <c r="B289" s="20"/>
      <c r="C289" s="20"/>
      <c r="D289" s="20"/>
      <c r="E289" s="20"/>
      <c r="F289" s="20"/>
      <c r="G289" s="20"/>
      <c r="H289" s="20"/>
      <c r="I289" s="27" t="str">
        <f aca="false">IF(OR(G289="",H289=""),"",IFERROR(INDEX(Lists!$U$3:$Y$5,MATCH(G289,Lists!$T$3:$T$5,0),MATCH(H289,Lists!$U$2:$Y$2,0)),"Check inputs"))</f>
        <v/>
      </c>
      <c r="J289" s="20"/>
      <c r="K289" s="20"/>
      <c r="L289" s="20"/>
      <c r="M289" s="20"/>
      <c r="N289" s="21"/>
      <c r="O289" s="20"/>
      <c r="P289" s="20"/>
    </row>
    <row r="290" customFormat="false" ht="15" hidden="false" customHeight="false" outlineLevel="0" collapsed="false">
      <c r="A290" s="20"/>
      <c r="B290" s="20"/>
      <c r="C290" s="20"/>
      <c r="D290" s="20"/>
      <c r="E290" s="20"/>
      <c r="F290" s="20"/>
      <c r="G290" s="20"/>
      <c r="H290" s="20"/>
      <c r="I290" s="27" t="str">
        <f aca="false">IF(OR(G290="",H290=""),"",IFERROR(INDEX(Lists!$U$3:$Y$5,MATCH(G290,Lists!$T$3:$T$5,0),MATCH(H290,Lists!$U$2:$Y$2,0)),"Check inputs"))</f>
        <v/>
      </c>
      <c r="J290" s="20"/>
      <c r="K290" s="20"/>
      <c r="L290" s="20"/>
      <c r="M290" s="20"/>
      <c r="N290" s="21"/>
      <c r="O290" s="20"/>
      <c r="P290" s="20"/>
    </row>
    <row r="291" customFormat="false" ht="15" hidden="false" customHeight="false" outlineLevel="0" collapsed="false">
      <c r="A291" s="20"/>
      <c r="B291" s="20"/>
      <c r="C291" s="20"/>
      <c r="D291" s="20"/>
      <c r="E291" s="20"/>
      <c r="F291" s="20"/>
      <c r="G291" s="20"/>
      <c r="H291" s="20"/>
      <c r="I291" s="27" t="str">
        <f aca="false">IF(OR(G291="",H291=""),"",IFERROR(INDEX(Lists!$U$3:$Y$5,MATCH(G291,Lists!$T$3:$T$5,0),MATCH(H291,Lists!$U$2:$Y$2,0)),"Check inputs"))</f>
        <v/>
      </c>
      <c r="J291" s="20"/>
      <c r="K291" s="20"/>
      <c r="L291" s="20"/>
      <c r="M291" s="20"/>
      <c r="N291" s="21"/>
      <c r="O291" s="20"/>
      <c r="P291" s="20"/>
    </row>
    <row r="292" customFormat="false" ht="15" hidden="false" customHeight="false" outlineLevel="0" collapsed="false">
      <c r="A292" s="20"/>
      <c r="B292" s="20"/>
      <c r="C292" s="20"/>
      <c r="D292" s="20"/>
      <c r="E292" s="20"/>
      <c r="F292" s="20"/>
      <c r="G292" s="20"/>
      <c r="H292" s="20"/>
      <c r="I292" s="27" t="str">
        <f aca="false">IF(OR(G292="",H292=""),"",IFERROR(INDEX(Lists!$U$3:$Y$5,MATCH(G292,Lists!$T$3:$T$5,0),MATCH(H292,Lists!$U$2:$Y$2,0)),"Check inputs"))</f>
        <v/>
      </c>
      <c r="J292" s="20"/>
      <c r="K292" s="20"/>
      <c r="L292" s="20"/>
      <c r="M292" s="20"/>
      <c r="N292" s="21"/>
      <c r="O292" s="20"/>
      <c r="P292" s="20"/>
    </row>
    <row r="293" customFormat="false" ht="15" hidden="false" customHeight="false" outlineLevel="0" collapsed="false">
      <c r="A293" s="20"/>
      <c r="B293" s="20"/>
      <c r="C293" s="20"/>
      <c r="D293" s="20"/>
      <c r="E293" s="20"/>
      <c r="F293" s="20"/>
      <c r="G293" s="20"/>
      <c r="H293" s="20"/>
      <c r="I293" s="27" t="str">
        <f aca="false">IF(OR(G293="",H293=""),"",IFERROR(INDEX(Lists!$U$3:$Y$5,MATCH(G293,Lists!$T$3:$T$5,0),MATCH(H293,Lists!$U$2:$Y$2,0)),"Check inputs"))</f>
        <v/>
      </c>
      <c r="J293" s="20"/>
      <c r="K293" s="20"/>
      <c r="L293" s="20"/>
      <c r="M293" s="20"/>
      <c r="N293" s="21"/>
      <c r="O293" s="20"/>
      <c r="P293" s="20"/>
    </row>
    <row r="294" customFormat="false" ht="15" hidden="false" customHeight="false" outlineLevel="0" collapsed="false">
      <c r="A294" s="20"/>
      <c r="B294" s="20"/>
      <c r="C294" s="20"/>
      <c r="D294" s="20"/>
      <c r="E294" s="20"/>
      <c r="F294" s="20"/>
      <c r="G294" s="20"/>
      <c r="H294" s="20"/>
      <c r="I294" s="27" t="str">
        <f aca="false">IF(OR(G294="",H294=""),"",IFERROR(INDEX(Lists!$U$3:$Y$5,MATCH(G294,Lists!$T$3:$T$5,0),MATCH(H294,Lists!$U$2:$Y$2,0)),"Check inputs"))</f>
        <v/>
      </c>
      <c r="J294" s="20"/>
      <c r="K294" s="20"/>
      <c r="L294" s="20"/>
      <c r="M294" s="20"/>
      <c r="N294" s="21"/>
      <c r="O294" s="20"/>
      <c r="P294" s="20"/>
    </row>
    <row r="295" customFormat="false" ht="15" hidden="false" customHeight="false" outlineLevel="0" collapsed="false">
      <c r="A295" s="20"/>
      <c r="B295" s="20"/>
      <c r="C295" s="20"/>
      <c r="D295" s="20"/>
      <c r="E295" s="20"/>
      <c r="F295" s="20"/>
      <c r="G295" s="20"/>
      <c r="H295" s="20"/>
      <c r="I295" s="27" t="str">
        <f aca="false">IF(OR(G295="",H295=""),"",IFERROR(INDEX(Lists!$U$3:$Y$5,MATCH(G295,Lists!$T$3:$T$5,0),MATCH(H295,Lists!$U$2:$Y$2,0)),"Check inputs"))</f>
        <v/>
      </c>
      <c r="J295" s="20"/>
      <c r="K295" s="20"/>
      <c r="L295" s="20"/>
      <c r="M295" s="20"/>
      <c r="N295" s="21"/>
      <c r="O295" s="20"/>
      <c r="P295" s="20"/>
    </row>
    <row r="296" customFormat="false" ht="15" hidden="false" customHeight="false" outlineLevel="0" collapsed="false">
      <c r="A296" s="20"/>
      <c r="B296" s="20"/>
      <c r="C296" s="20"/>
      <c r="D296" s="20"/>
      <c r="E296" s="20"/>
      <c r="F296" s="20"/>
      <c r="G296" s="20"/>
      <c r="H296" s="20"/>
      <c r="I296" s="27" t="str">
        <f aca="false">IF(OR(G296="",H296=""),"",IFERROR(INDEX(Lists!$U$3:$Y$5,MATCH(G296,Lists!$T$3:$T$5,0),MATCH(H296,Lists!$U$2:$Y$2,0)),"Check inputs"))</f>
        <v/>
      </c>
      <c r="J296" s="20"/>
      <c r="K296" s="20"/>
      <c r="L296" s="20"/>
      <c r="M296" s="20"/>
      <c r="N296" s="21"/>
      <c r="O296" s="20"/>
      <c r="P296" s="20"/>
    </row>
    <row r="297" customFormat="false" ht="15" hidden="false" customHeight="false" outlineLevel="0" collapsed="false">
      <c r="A297" s="20"/>
      <c r="B297" s="20"/>
      <c r="C297" s="20"/>
      <c r="D297" s="20"/>
      <c r="E297" s="20"/>
      <c r="F297" s="20"/>
      <c r="G297" s="20"/>
      <c r="H297" s="20"/>
      <c r="I297" s="27" t="str">
        <f aca="false">IF(OR(G297="",H297=""),"",IFERROR(INDEX(Lists!$U$3:$Y$5,MATCH(G297,Lists!$T$3:$T$5,0),MATCH(H297,Lists!$U$2:$Y$2,0)),"Check inputs"))</f>
        <v/>
      </c>
      <c r="J297" s="20"/>
      <c r="K297" s="20"/>
      <c r="L297" s="20"/>
      <c r="M297" s="20"/>
      <c r="N297" s="21"/>
      <c r="O297" s="20"/>
      <c r="P297" s="20"/>
    </row>
    <row r="298" customFormat="false" ht="15" hidden="false" customHeight="false" outlineLevel="0" collapsed="false">
      <c r="A298" s="20"/>
      <c r="B298" s="20"/>
      <c r="C298" s="20"/>
      <c r="D298" s="20"/>
      <c r="E298" s="20"/>
      <c r="F298" s="20"/>
      <c r="G298" s="20"/>
      <c r="H298" s="20"/>
      <c r="I298" s="27" t="str">
        <f aca="false">IF(OR(G298="",H298=""),"",IFERROR(INDEX(Lists!$U$3:$Y$5,MATCH(G298,Lists!$T$3:$T$5,0),MATCH(H298,Lists!$U$2:$Y$2,0)),"Check inputs"))</f>
        <v/>
      </c>
      <c r="J298" s="20"/>
      <c r="K298" s="20"/>
      <c r="L298" s="20"/>
      <c r="M298" s="20"/>
      <c r="N298" s="21"/>
      <c r="O298" s="20"/>
      <c r="P298" s="20"/>
    </row>
    <row r="299" customFormat="false" ht="15" hidden="false" customHeight="false" outlineLevel="0" collapsed="false">
      <c r="A299" s="20"/>
      <c r="B299" s="20"/>
      <c r="C299" s="20"/>
      <c r="D299" s="20"/>
      <c r="E299" s="20"/>
      <c r="F299" s="20"/>
      <c r="G299" s="20"/>
      <c r="H299" s="20"/>
      <c r="I299" s="27" t="str">
        <f aca="false">IF(OR(G299="",H299=""),"",IFERROR(INDEX(Lists!$U$3:$Y$5,MATCH(G299,Lists!$T$3:$T$5,0),MATCH(H299,Lists!$U$2:$Y$2,0)),"Check inputs"))</f>
        <v/>
      </c>
      <c r="J299" s="20"/>
      <c r="K299" s="20"/>
      <c r="L299" s="20"/>
      <c r="M299" s="20"/>
      <c r="N299" s="21"/>
      <c r="O299" s="20"/>
      <c r="P299" s="20"/>
    </row>
    <row r="300" customFormat="false" ht="15" hidden="false" customHeight="false" outlineLevel="0" collapsed="false">
      <c r="A300" s="20"/>
      <c r="B300" s="20"/>
      <c r="C300" s="20"/>
      <c r="D300" s="20"/>
      <c r="E300" s="20"/>
      <c r="F300" s="20"/>
      <c r="G300" s="20"/>
      <c r="H300" s="20"/>
      <c r="I300" s="27" t="str">
        <f aca="false">IF(OR(G300="",H300=""),"",IFERROR(INDEX(Lists!$U$3:$Y$5,MATCH(G300,Lists!$T$3:$T$5,0),MATCH(H300,Lists!$U$2:$Y$2,0)),"Check inputs"))</f>
        <v/>
      </c>
      <c r="J300" s="20"/>
      <c r="K300" s="20"/>
      <c r="L300" s="20"/>
      <c r="M300" s="20"/>
      <c r="N300" s="21"/>
      <c r="O300" s="20"/>
      <c r="P300" s="20"/>
    </row>
    <row r="301" customFormat="false" ht="15" hidden="false" customHeight="false" outlineLevel="0" collapsed="false">
      <c r="A301" s="20"/>
      <c r="B301" s="20"/>
      <c r="C301" s="20"/>
      <c r="D301" s="20"/>
      <c r="E301" s="20"/>
      <c r="F301" s="20"/>
      <c r="G301" s="20"/>
      <c r="H301" s="20"/>
      <c r="I301" s="27" t="str">
        <f aca="false">IF(OR(G301="",H301=""),"",IFERROR(INDEX(Lists!$U$3:$Y$5,MATCH(G301,Lists!$T$3:$T$5,0),MATCH(H301,Lists!$U$2:$Y$2,0)),"Check inputs"))</f>
        <v/>
      </c>
      <c r="J301" s="20"/>
      <c r="K301" s="20"/>
      <c r="L301" s="20"/>
      <c r="M301" s="20"/>
      <c r="N301" s="21"/>
      <c r="O301" s="20"/>
      <c r="P301" s="20"/>
    </row>
    <row r="302" customFormat="false" ht="15" hidden="false" customHeight="false" outlineLevel="0" collapsed="false">
      <c r="A302" s="20"/>
      <c r="B302" s="20"/>
      <c r="C302" s="20"/>
      <c r="D302" s="20"/>
      <c r="E302" s="20"/>
      <c r="F302" s="20"/>
      <c r="G302" s="20"/>
      <c r="H302" s="20"/>
      <c r="I302" s="27" t="str">
        <f aca="false">IF(OR(G302="",H302=""),"",IFERROR(INDEX(Lists!$U$3:$Y$5,MATCH(G302,Lists!$T$3:$T$5,0),MATCH(H302,Lists!$U$2:$Y$2,0)),"Check inputs"))</f>
        <v/>
      </c>
      <c r="J302" s="20"/>
      <c r="K302" s="20"/>
      <c r="L302" s="20"/>
      <c r="M302" s="20"/>
      <c r="N302" s="21"/>
      <c r="O302" s="20"/>
      <c r="P302" s="20"/>
    </row>
  </sheetData>
  <autoFilter ref="A1:P302"/>
  <dataValidations count="6">
    <dataValidation allowBlank="true" error="Choose a value from the list (see the Lists sheet)." errorStyle="stop" errorTitle="Not in list" operator="between" showDropDown="false" showErrorMessage="false" showInputMessage="false" sqref="C2:C302" type="list">
      <formula1>Lists!$J$2:$J$12</formula1>
      <formula2>0</formula2>
    </dataValidation>
    <dataValidation allowBlank="true" error="Choose a value from the list (see the Lists sheet)." errorStyle="stop" errorTitle="Not in list" operator="between" showDropDown="false" showErrorMessage="false" showInputMessage="false" sqref="D2:D302" type="list">
      <formula1>Lists!$K$2:$K$9</formula1>
      <formula2>0</formula2>
    </dataValidation>
    <dataValidation allowBlank="true" error="Choose a value from the list (see the Lists sheet)." errorStyle="stop" errorTitle="Not in list" operator="between" showDropDown="false" showErrorMessage="false" showInputMessage="false" sqref="G2:G302" type="list">
      <formula1>Lists!$A$2:$A$4</formula1>
      <formula2>0</formula2>
    </dataValidation>
    <dataValidation allowBlank="true" error="Choose a value from the list (see the Lists sheet)." errorStyle="stop" errorTitle="Not in list" operator="between" showDropDown="false" showErrorMessage="false" showInputMessage="false" sqref="H2:H302" type="list">
      <formula1>Lists!$B$2:$B$6</formula1>
      <formula2>0</formula2>
    </dataValidation>
    <dataValidation allowBlank="true" error="Choose a value from the list (see the Lists sheet)." errorStyle="stop" errorTitle="Not in list" operator="between" showDropDown="false" showErrorMessage="false" showInputMessage="false" sqref="J2:J302" type="list">
      <formula1>Lists!$I$2:$I$6</formula1>
      <formula2>0</formula2>
    </dataValidation>
    <dataValidation allowBlank="true" error="Choose a value from the list (see the Lists sheet)." errorStyle="stop" errorTitle="Not in list" operator="between" showDropDown="false" showErrorMessage="false" showInputMessage="false" sqref="O2:O302" type="list">
      <formula1>Lists!$N$2:$N$5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3341F"/>
    <pageSetUpPr fitToPage="true"/>
  </sheetPr>
  <dimension ref="A1:L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26"/>
    <col collapsed="false" customWidth="true" hidden="false" outlineLevel="0" max="9" min="8" style="0" width="22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30"/>
  </cols>
  <sheetData>
    <row r="1" customFormat="false" ht="42" hidden="false" customHeight="true" outlineLevel="0" collapsed="false">
      <c r="A1" s="16" t="s">
        <v>76</v>
      </c>
      <c r="B1" s="16" t="s">
        <v>337</v>
      </c>
      <c r="C1" s="16" t="s">
        <v>338</v>
      </c>
      <c r="D1" s="16" t="s">
        <v>339</v>
      </c>
      <c r="E1" s="16" t="s">
        <v>277</v>
      </c>
      <c r="F1" s="16" t="s">
        <v>340</v>
      </c>
      <c r="G1" s="16" t="s">
        <v>341</v>
      </c>
      <c r="H1" s="16" t="s">
        <v>342</v>
      </c>
      <c r="I1" s="16" t="s">
        <v>343</v>
      </c>
      <c r="J1" s="16" t="s">
        <v>344</v>
      </c>
      <c r="K1" s="16" t="s">
        <v>84</v>
      </c>
      <c r="L1" s="16" t="s">
        <v>324</v>
      </c>
    </row>
    <row r="2" customFormat="false" ht="23.85" hidden="false" customHeight="false" outlineLevel="0" collapsed="false">
      <c r="A2" s="25" t="s">
        <v>345</v>
      </c>
      <c r="B2" s="25" t="s">
        <v>346</v>
      </c>
      <c r="C2" s="25" t="s">
        <v>347</v>
      </c>
      <c r="D2" s="25" t="s">
        <v>348</v>
      </c>
      <c r="E2" s="25" t="s">
        <v>349</v>
      </c>
      <c r="F2" s="25" t="s">
        <v>350</v>
      </c>
      <c r="G2" s="25" t="s">
        <v>351</v>
      </c>
      <c r="H2" s="25" t="s">
        <v>352</v>
      </c>
      <c r="I2" s="25" t="s">
        <v>353</v>
      </c>
      <c r="J2" s="26" t="n">
        <v>46332</v>
      </c>
      <c r="K2" s="25" t="s">
        <v>273</v>
      </c>
      <c r="L2" s="25" t="s">
        <v>354</v>
      </c>
    </row>
    <row r="3" customFormat="false" ht="15" hidden="false" customHeight="false" outlineLevel="0" collapsed="false">
      <c r="A3" s="20"/>
      <c r="B3" s="20"/>
      <c r="C3" s="20"/>
      <c r="D3" s="20"/>
      <c r="E3" s="20"/>
      <c r="F3" s="20"/>
      <c r="G3" s="20"/>
      <c r="H3" s="20"/>
      <c r="I3" s="20"/>
      <c r="J3" s="21"/>
      <c r="K3" s="20"/>
      <c r="L3" s="20"/>
    </row>
    <row r="4" customFormat="false" ht="15" hidden="false" customHeight="false" outlineLevel="0" collapsed="false">
      <c r="A4" s="20"/>
      <c r="B4" s="20"/>
      <c r="C4" s="20"/>
      <c r="D4" s="20"/>
      <c r="E4" s="20"/>
      <c r="F4" s="20"/>
      <c r="G4" s="20"/>
      <c r="H4" s="20"/>
      <c r="I4" s="20"/>
      <c r="J4" s="21"/>
      <c r="K4" s="20"/>
      <c r="L4" s="20"/>
    </row>
    <row r="5" customFormat="false" ht="15" hidden="false" customHeight="false" outlineLevel="0" collapsed="false">
      <c r="A5" s="20"/>
      <c r="B5" s="20"/>
      <c r="C5" s="20"/>
      <c r="D5" s="20"/>
      <c r="E5" s="20"/>
      <c r="F5" s="20"/>
      <c r="G5" s="20"/>
      <c r="H5" s="20"/>
      <c r="I5" s="20"/>
      <c r="J5" s="21"/>
      <c r="K5" s="20"/>
      <c r="L5" s="20"/>
    </row>
    <row r="6" customFormat="false" ht="15" hidden="false" customHeight="false" outlineLevel="0" collapsed="false">
      <c r="A6" s="20"/>
      <c r="B6" s="20"/>
      <c r="C6" s="20"/>
      <c r="D6" s="20"/>
      <c r="E6" s="20"/>
      <c r="F6" s="20"/>
      <c r="G6" s="20"/>
      <c r="H6" s="20"/>
      <c r="I6" s="20"/>
      <c r="J6" s="21"/>
      <c r="K6" s="20"/>
      <c r="L6" s="20"/>
    </row>
    <row r="7" customFormat="false" ht="15" hidden="false" customHeight="false" outlineLevel="0" collapsed="false">
      <c r="A7" s="20"/>
      <c r="B7" s="20"/>
      <c r="C7" s="20"/>
      <c r="D7" s="20"/>
      <c r="E7" s="20"/>
      <c r="F7" s="20"/>
      <c r="G7" s="20"/>
      <c r="H7" s="20"/>
      <c r="I7" s="20"/>
      <c r="J7" s="21"/>
      <c r="K7" s="20"/>
      <c r="L7" s="20"/>
    </row>
    <row r="8" customFormat="false" ht="15" hidden="false" customHeight="false" outlineLevel="0" collapsed="false">
      <c r="A8" s="20"/>
      <c r="B8" s="20"/>
      <c r="C8" s="20"/>
      <c r="D8" s="20"/>
      <c r="E8" s="20"/>
      <c r="F8" s="20"/>
      <c r="G8" s="20"/>
      <c r="H8" s="20"/>
      <c r="I8" s="20"/>
      <c r="J8" s="21"/>
      <c r="K8" s="20"/>
      <c r="L8" s="20"/>
    </row>
    <row r="9" customFormat="false" ht="15" hidden="false" customHeight="false" outlineLevel="0" collapsed="false">
      <c r="A9" s="20"/>
      <c r="B9" s="20"/>
      <c r="C9" s="20"/>
      <c r="D9" s="20"/>
      <c r="E9" s="20"/>
      <c r="F9" s="20"/>
      <c r="G9" s="20"/>
      <c r="H9" s="20"/>
      <c r="I9" s="20"/>
      <c r="J9" s="21"/>
      <c r="K9" s="20"/>
      <c r="L9" s="20"/>
    </row>
    <row r="10" customFormat="false" ht="15" hidden="false" customHeight="fals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1"/>
      <c r="K10" s="20"/>
      <c r="L10" s="20"/>
    </row>
    <row r="11" customFormat="false" ht="15" hidden="false" customHeight="false" outlineLevel="0" collapsed="false">
      <c r="A11" s="20"/>
      <c r="B11" s="20"/>
      <c r="C11" s="20"/>
      <c r="D11" s="20"/>
      <c r="E11" s="20"/>
      <c r="F11" s="20"/>
      <c r="G11" s="20"/>
      <c r="H11" s="20"/>
      <c r="I11" s="20"/>
      <c r="J11" s="21"/>
      <c r="K11" s="20"/>
      <c r="L11" s="20"/>
    </row>
    <row r="12" customFormat="false" ht="15" hidden="false" customHeight="false" outlineLevel="0" collapsed="false">
      <c r="A12" s="20"/>
      <c r="B12" s="20"/>
      <c r="C12" s="20"/>
      <c r="D12" s="20"/>
      <c r="E12" s="20"/>
      <c r="F12" s="20"/>
      <c r="G12" s="20"/>
      <c r="H12" s="20"/>
      <c r="I12" s="20"/>
      <c r="J12" s="21"/>
      <c r="K12" s="20"/>
      <c r="L12" s="20"/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0"/>
      <c r="G13" s="20"/>
      <c r="H13" s="20"/>
      <c r="I13" s="20"/>
      <c r="J13" s="21"/>
      <c r="K13" s="20"/>
      <c r="L13" s="20"/>
    </row>
    <row r="14" customFormat="false" ht="15" hidden="false" customHeight="false" outlineLevel="0" collapsed="false">
      <c r="A14" s="20"/>
      <c r="B14" s="20"/>
      <c r="C14" s="20"/>
      <c r="D14" s="20"/>
      <c r="E14" s="20"/>
      <c r="F14" s="20"/>
      <c r="G14" s="20"/>
      <c r="H14" s="20"/>
      <c r="I14" s="20"/>
      <c r="J14" s="21"/>
      <c r="K14" s="20"/>
      <c r="L14" s="20"/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0"/>
      <c r="G15" s="20"/>
      <c r="H15" s="20"/>
      <c r="I15" s="20"/>
      <c r="J15" s="21"/>
      <c r="K15" s="20"/>
      <c r="L15" s="20"/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0"/>
      <c r="G16" s="20"/>
      <c r="H16" s="20"/>
      <c r="I16" s="20"/>
      <c r="J16" s="21"/>
      <c r="K16" s="20"/>
      <c r="L16" s="20"/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  <c r="H17" s="20"/>
      <c r="I17" s="20"/>
      <c r="J17" s="21"/>
      <c r="K17" s="20"/>
      <c r="L17" s="20"/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1"/>
      <c r="K18" s="20"/>
      <c r="L18" s="20"/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1"/>
      <c r="K19" s="20"/>
      <c r="L19" s="20"/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1"/>
      <c r="K20" s="20"/>
      <c r="L20" s="20"/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1"/>
      <c r="K21" s="20"/>
      <c r="L21" s="20"/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0"/>
      <c r="G22" s="20"/>
      <c r="H22" s="20"/>
      <c r="I22" s="20"/>
      <c r="J22" s="21"/>
      <c r="K22" s="20"/>
      <c r="L22" s="20"/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21"/>
      <c r="K23" s="20"/>
      <c r="L23" s="20"/>
    </row>
    <row r="24" customFormat="false" ht="15" hidden="false" customHeight="fals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1"/>
      <c r="K24" s="20"/>
      <c r="L24" s="20"/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1"/>
      <c r="K25" s="20"/>
      <c r="L25" s="20"/>
    </row>
    <row r="26" customFormat="false" ht="15" hidden="false" customHeight="fals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1"/>
      <c r="K26" s="20"/>
      <c r="L26" s="20"/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1"/>
      <c r="K27" s="20"/>
      <c r="L27" s="20"/>
    </row>
    <row r="28" customFormat="false" ht="15" hidden="false" customHeight="fals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21"/>
      <c r="K28" s="20"/>
      <c r="L28" s="20"/>
    </row>
    <row r="29" customFormat="false" ht="15" hidden="false" customHeight="fals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1"/>
      <c r="K29" s="20"/>
      <c r="L29" s="20"/>
    </row>
    <row r="30" customFormat="false" ht="15" hidden="false" customHeight="fals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21"/>
      <c r="K30" s="20"/>
      <c r="L30" s="20"/>
    </row>
    <row r="31" customFormat="false" ht="1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1"/>
      <c r="K31" s="20"/>
      <c r="L31" s="20"/>
    </row>
    <row r="32" customFormat="false" ht="15" hidden="false" customHeight="fals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21"/>
      <c r="K32" s="20"/>
      <c r="L32" s="20"/>
    </row>
    <row r="33" customFormat="false" ht="15" hidden="false" customHeight="false" outlineLevel="0" collapsed="false">
      <c r="A33" s="20"/>
      <c r="B33" s="20"/>
      <c r="C33" s="20"/>
      <c r="D33" s="20"/>
      <c r="E33" s="20"/>
      <c r="F33" s="20"/>
      <c r="G33" s="20"/>
      <c r="H33" s="20"/>
      <c r="I33" s="20"/>
      <c r="J33" s="21"/>
      <c r="K33" s="20"/>
      <c r="L33" s="20"/>
    </row>
    <row r="34" customFormat="false" ht="1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1"/>
      <c r="K34" s="20"/>
      <c r="L34" s="20"/>
    </row>
    <row r="35" customFormat="false" ht="15" hidden="false" customHeight="fals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1"/>
      <c r="K35" s="20"/>
      <c r="L35" s="20"/>
    </row>
    <row r="36" customFormat="false" ht="15" hidden="false" customHeight="fals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1"/>
      <c r="K36" s="20"/>
      <c r="L36" s="20"/>
    </row>
    <row r="37" customFormat="false" ht="15" hidden="false" customHeight="fals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1"/>
      <c r="K37" s="20"/>
      <c r="L37" s="20"/>
    </row>
    <row r="38" customFormat="false" ht="15" hidden="false" customHeight="fals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1"/>
      <c r="K38" s="20"/>
      <c r="L38" s="20"/>
    </row>
    <row r="39" customFormat="false" ht="1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1"/>
      <c r="K39" s="20"/>
      <c r="L39" s="20"/>
    </row>
    <row r="40" customFormat="false" ht="15" hidden="false" customHeight="false" outlineLevel="0" collapsed="false">
      <c r="A40" s="20"/>
      <c r="B40" s="20"/>
      <c r="C40" s="20"/>
      <c r="D40" s="20"/>
      <c r="E40" s="20"/>
      <c r="F40" s="20"/>
      <c r="G40" s="20"/>
      <c r="H40" s="20"/>
      <c r="I40" s="20"/>
      <c r="J40" s="21"/>
      <c r="K40" s="20"/>
      <c r="L40" s="20"/>
    </row>
    <row r="41" customFormat="false" ht="15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20"/>
      <c r="J41" s="21"/>
      <c r="K41" s="20"/>
      <c r="L41" s="20"/>
    </row>
    <row r="42" customFormat="false" ht="15" hidden="false" customHeight="fals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1"/>
      <c r="K42" s="20"/>
      <c r="L42" s="20"/>
    </row>
    <row r="43" customFormat="false" ht="15" hidden="false" customHeight="false" outlineLevel="0" collapsed="false">
      <c r="A43" s="20"/>
      <c r="B43" s="20"/>
      <c r="C43" s="20"/>
      <c r="D43" s="20"/>
      <c r="E43" s="20"/>
      <c r="F43" s="20"/>
      <c r="G43" s="20"/>
      <c r="H43" s="20"/>
      <c r="I43" s="20"/>
      <c r="J43" s="21"/>
      <c r="K43" s="20"/>
      <c r="L43" s="20"/>
    </row>
    <row r="44" customFormat="false" ht="15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1"/>
      <c r="K44" s="20"/>
      <c r="L44" s="20"/>
    </row>
    <row r="45" customFormat="false" ht="15" hidden="false" customHeight="false" outlineLevel="0" collapsed="false">
      <c r="A45" s="20"/>
      <c r="B45" s="20"/>
      <c r="C45" s="20"/>
      <c r="D45" s="20"/>
      <c r="E45" s="20"/>
      <c r="F45" s="20"/>
      <c r="G45" s="20"/>
      <c r="H45" s="20"/>
      <c r="I45" s="20"/>
      <c r="J45" s="21"/>
      <c r="K45" s="20"/>
      <c r="L45" s="20"/>
    </row>
    <row r="46" customFormat="false" ht="15" hidden="false" customHeight="fals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1"/>
      <c r="K46" s="20"/>
      <c r="L46" s="20"/>
    </row>
    <row r="47" customFormat="false" ht="15" hidden="false" customHeight="fals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1"/>
      <c r="K47" s="20"/>
      <c r="L47" s="20"/>
    </row>
    <row r="48" customFormat="false" ht="1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1"/>
      <c r="K48" s="20"/>
      <c r="L48" s="20"/>
    </row>
    <row r="49" customFormat="false" ht="1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1"/>
      <c r="K49" s="20"/>
      <c r="L49" s="20"/>
    </row>
    <row r="50" customFormat="false" ht="1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1"/>
      <c r="K50" s="20"/>
      <c r="L50" s="20"/>
    </row>
    <row r="51" customFormat="false" ht="1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1"/>
      <c r="K51" s="20"/>
      <c r="L51" s="20"/>
    </row>
    <row r="52" customFormat="false" ht="1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1"/>
      <c r="K52" s="20"/>
      <c r="L52" s="20"/>
    </row>
    <row r="53" customFormat="false" ht="1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1"/>
      <c r="K53" s="20"/>
      <c r="L53" s="20"/>
    </row>
    <row r="54" customFormat="false" ht="1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1"/>
      <c r="K54" s="20"/>
      <c r="L54" s="20"/>
    </row>
    <row r="55" customFormat="false" ht="1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1"/>
      <c r="K55" s="20"/>
      <c r="L55" s="20"/>
    </row>
    <row r="56" customFormat="false" ht="1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1"/>
      <c r="K56" s="20"/>
      <c r="L56" s="20"/>
    </row>
    <row r="57" customFormat="false" ht="1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1"/>
      <c r="K57" s="20"/>
      <c r="L57" s="20"/>
    </row>
    <row r="58" customFormat="false" ht="1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1"/>
      <c r="K58" s="20"/>
      <c r="L58" s="20"/>
    </row>
    <row r="59" customFormat="false" ht="1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1"/>
      <c r="K59" s="20"/>
      <c r="L59" s="20"/>
    </row>
    <row r="60" customFormat="false" ht="1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1"/>
      <c r="K60" s="20"/>
      <c r="L60" s="20"/>
    </row>
    <row r="61" customFormat="false" ht="1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1"/>
      <c r="K61" s="20"/>
      <c r="L61" s="20"/>
    </row>
    <row r="62" customFormat="false" ht="1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1"/>
      <c r="K62" s="20"/>
      <c r="L62" s="20"/>
    </row>
    <row r="63" customFormat="false" ht="1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1"/>
      <c r="K63" s="20"/>
      <c r="L63" s="20"/>
    </row>
    <row r="64" customFormat="false" ht="1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1"/>
      <c r="K64" s="20"/>
      <c r="L64" s="20"/>
    </row>
    <row r="65" customFormat="false" ht="1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1"/>
      <c r="K65" s="20"/>
      <c r="L65" s="20"/>
    </row>
    <row r="66" customFormat="false" ht="1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1"/>
      <c r="K66" s="20"/>
      <c r="L66" s="20"/>
    </row>
    <row r="67" customFormat="false" ht="1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1"/>
      <c r="K67" s="20"/>
      <c r="L67" s="20"/>
    </row>
    <row r="68" customFormat="false" ht="1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1"/>
      <c r="K68" s="20"/>
      <c r="L68" s="20"/>
    </row>
    <row r="69" customFormat="false" ht="1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1"/>
      <c r="K69" s="20"/>
      <c r="L69" s="20"/>
    </row>
    <row r="70" customFormat="false" ht="1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1"/>
      <c r="K70" s="20"/>
      <c r="L70" s="20"/>
    </row>
    <row r="71" customFormat="false" ht="1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1"/>
      <c r="K71" s="20"/>
      <c r="L71" s="20"/>
    </row>
    <row r="72" customFormat="false" ht="1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1"/>
      <c r="K72" s="20"/>
      <c r="L72" s="20"/>
    </row>
    <row r="73" customFormat="false" ht="1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1"/>
      <c r="K73" s="20"/>
      <c r="L73" s="20"/>
    </row>
    <row r="74" customFormat="false" ht="1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1"/>
      <c r="K74" s="20"/>
      <c r="L74" s="20"/>
    </row>
    <row r="75" customFormat="false" ht="1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1"/>
      <c r="K75" s="20"/>
      <c r="L75" s="20"/>
    </row>
    <row r="76" customFormat="false" ht="1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1"/>
      <c r="K76" s="20"/>
      <c r="L76" s="20"/>
    </row>
    <row r="77" customFormat="false" ht="1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1"/>
      <c r="K77" s="20"/>
      <c r="L77" s="20"/>
    </row>
    <row r="78" customFormat="false" ht="1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1"/>
      <c r="K78" s="20"/>
      <c r="L78" s="20"/>
    </row>
    <row r="79" customFormat="false" ht="1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1"/>
      <c r="K79" s="20"/>
      <c r="L79" s="20"/>
    </row>
    <row r="80" customFormat="false" ht="1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1"/>
      <c r="K80" s="20"/>
      <c r="L80" s="20"/>
    </row>
    <row r="81" customFormat="false" ht="1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1"/>
      <c r="K81" s="20"/>
      <c r="L81" s="20"/>
    </row>
    <row r="82" customFormat="false" ht="1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1"/>
      <c r="K82" s="20"/>
      <c r="L82" s="20"/>
    </row>
    <row r="83" customFormat="false" ht="1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1"/>
      <c r="K83" s="20"/>
      <c r="L83" s="20"/>
    </row>
    <row r="84" customFormat="false" ht="1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1"/>
      <c r="K84" s="20"/>
      <c r="L84" s="20"/>
    </row>
    <row r="85" customFormat="false" ht="1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1"/>
      <c r="K85" s="20"/>
      <c r="L85" s="20"/>
    </row>
    <row r="86" customFormat="false" ht="1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1"/>
      <c r="K86" s="20"/>
      <c r="L86" s="20"/>
    </row>
    <row r="87" customFormat="false" ht="1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1"/>
      <c r="K87" s="20"/>
      <c r="L87" s="20"/>
    </row>
    <row r="88" customFormat="false" ht="1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1"/>
      <c r="K88" s="20"/>
      <c r="L88" s="20"/>
    </row>
    <row r="89" customFormat="false" ht="1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1"/>
      <c r="K89" s="20"/>
      <c r="L89" s="20"/>
    </row>
    <row r="90" customFormat="false" ht="1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1"/>
      <c r="K90" s="20"/>
      <c r="L90" s="20"/>
    </row>
    <row r="91" customFormat="false" ht="1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1"/>
      <c r="K91" s="20"/>
      <c r="L91" s="20"/>
    </row>
    <row r="92" customFormat="false" ht="1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1"/>
      <c r="K92" s="20"/>
      <c r="L92" s="20"/>
    </row>
    <row r="93" customFormat="false" ht="1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1"/>
      <c r="K93" s="20"/>
      <c r="L93" s="20"/>
    </row>
    <row r="94" customFormat="false" ht="1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1"/>
      <c r="K94" s="20"/>
      <c r="L94" s="20"/>
    </row>
    <row r="95" customFormat="false" ht="1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1"/>
      <c r="K95" s="20"/>
      <c r="L95" s="20"/>
    </row>
    <row r="96" customFormat="false" ht="1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1"/>
      <c r="K96" s="20"/>
      <c r="L96" s="20"/>
    </row>
    <row r="97" customFormat="false" ht="1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1"/>
      <c r="K97" s="20"/>
      <c r="L97" s="20"/>
    </row>
    <row r="98" customFormat="false" ht="1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1"/>
      <c r="K98" s="20"/>
      <c r="L98" s="20"/>
    </row>
    <row r="99" customFormat="false" ht="1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1"/>
      <c r="K99" s="20"/>
      <c r="L99" s="20"/>
    </row>
    <row r="100" customFormat="false" ht="1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1"/>
      <c r="K100" s="20"/>
      <c r="L100" s="20"/>
    </row>
    <row r="101" customFormat="false" ht="1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1"/>
      <c r="K101" s="20"/>
      <c r="L101" s="20"/>
    </row>
    <row r="102" customFormat="false" ht="1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1"/>
      <c r="K102" s="20"/>
      <c r="L102" s="20"/>
    </row>
    <row r="103" customFormat="false" ht="1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1"/>
      <c r="K103" s="20"/>
      <c r="L103" s="20"/>
    </row>
    <row r="104" customFormat="false" ht="1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1"/>
      <c r="K104" s="20"/>
      <c r="L104" s="20"/>
    </row>
    <row r="105" customFormat="false" ht="1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1"/>
      <c r="K105" s="20"/>
      <c r="L105" s="20"/>
    </row>
    <row r="106" customFormat="false" ht="1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1"/>
      <c r="K106" s="20"/>
      <c r="L106" s="20"/>
    </row>
    <row r="107" customFormat="false" ht="1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1"/>
      <c r="K107" s="20"/>
      <c r="L107" s="20"/>
    </row>
    <row r="108" customFormat="false" ht="1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1"/>
      <c r="K108" s="20"/>
      <c r="L108" s="20"/>
    </row>
    <row r="109" customFormat="false" ht="1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1"/>
      <c r="K109" s="20"/>
      <c r="L109" s="20"/>
    </row>
    <row r="110" customFormat="false" ht="1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1"/>
      <c r="K110" s="20"/>
      <c r="L110" s="20"/>
    </row>
    <row r="111" customFormat="false" ht="1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1"/>
      <c r="K111" s="20"/>
      <c r="L111" s="20"/>
    </row>
    <row r="112" customFormat="false" ht="1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1"/>
      <c r="K112" s="20"/>
      <c r="L112" s="20"/>
    </row>
    <row r="113" customFormat="false" ht="1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1"/>
      <c r="K113" s="20"/>
      <c r="L113" s="20"/>
    </row>
    <row r="114" customFormat="false" ht="1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1"/>
      <c r="K114" s="20"/>
      <c r="L114" s="20"/>
    </row>
    <row r="115" customFormat="false" ht="1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1"/>
      <c r="K115" s="20"/>
      <c r="L115" s="20"/>
    </row>
    <row r="116" customFormat="false" ht="1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1"/>
      <c r="K116" s="20"/>
      <c r="L116" s="20"/>
    </row>
    <row r="117" customFormat="false" ht="1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1"/>
      <c r="K117" s="20"/>
      <c r="L117" s="20"/>
    </row>
    <row r="118" customFormat="false" ht="1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1"/>
      <c r="K118" s="20"/>
      <c r="L118" s="20"/>
    </row>
    <row r="119" customFormat="false" ht="1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1"/>
      <c r="K119" s="20"/>
      <c r="L119" s="20"/>
    </row>
    <row r="120" customFormat="false" ht="1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1"/>
      <c r="K120" s="20"/>
      <c r="L120" s="20"/>
    </row>
    <row r="121" customFormat="false" ht="1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1"/>
      <c r="K121" s="20"/>
      <c r="L121" s="20"/>
    </row>
    <row r="122" customFormat="false" ht="1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1"/>
      <c r="K122" s="20"/>
      <c r="L122" s="20"/>
    </row>
    <row r="123" customFormat="false" ht="1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1"/>
      <c r="K123" s="20"/>
      <c r="L123" s="20"/>
    </row>
    <row r="124" customFormat="false" ht="1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1"/>
      <c r="K124" s="20"/>
      <c r="L124" s="20"/>
    </row>
    <row r="125" customFormat="false" ht="1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1"/>
      <c r="K125" s="20"/>
      <c r="L125" s="20"/>
    </row>
    <row r="126" customFormat="false" ht="1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1"/>
      <c r="K126" s="20"/>
      <c r="L126" s="20"/>
    </row>
    <row r="127" customFormat="false" ht="1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1"/>
      <c r="K127" s="20"/>
      <c r="L127" s="20"/>
    </row>
    <row r="128" customFormat="false" ht="1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1"/>
      <c r="K128" s="20"/>
      <c r="L128" s="20"/>
    </row>
    <row r="129" customFormat="false" ht="1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1"/>
      <c r="K129" s="20"/>
      <c r="L129" s="20"/>
    </row>
    <row r="130" customFormat="false" ht="1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1"/>
      <c r="K130" s="20"/>
      <c r="L130" s="20"/>
    </row>
    <row r="131" customFormat="false" ht="1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1"/>
      <c r="K131" s="20"/>
      <c r="L131" s="20"/>
    </row>
    <row r="132" customFormat="false" ht="1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1"/>
      <c r="K132" s="20"/>
      <c r="L132" s="20"/>
    </row>
    <row r="133" customFormat="false" ht="1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1"/>
      <c r="K133" s="20"/>
      <c r="L133" s="20"/>
    </row>
    <row r="134" customFormat="false" ht="1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1"/>
      <c r="K134" s="20"/>
      <c r="L134" s="20"/>
    </row>
    <row r="135" customFormat="false" ht="1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1"/>
      <c r="K135" s="20"/>
      <c r="L135" s="20"/>
    </row>
    <row r="136" customFormat="false" ht="1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1"/>
      <c r="K136" s="20"/>
      <c r="L136" s="20"/>
    </row>
    <row r="137" customFormat="false" ht="1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1"/>
      <c r="K137" s="20"/>
      <c r="L137" s="20"/>
    </row>
    <row r="138" customFormat="false" ht="1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1"/>
      <c r="K138" s="20"/>
      <c r="L138" s="20"/>
    </row>
    <row r="139" customFormat="false" ht="1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1"/>
      <c r="K139" s="20"/>
      <c r="L139" s="20"/>
    </row>
    <row r="140" customFormat="false" ht="1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1"/>
      <c r="K140" s="20"/>
      <c r="L140" s="20"/>
    </row>
    <row r="141" customFormat="false" ht="1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1"/>
      <c r="K141" s="20"/>
      <c r="L141" s="20"/>
    </row>
    <row r="142" customFormat="false" ht="1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1"/>
      <c r="K142" s="20"/>
      <c r="L142" s="20"/>
    </row>
    <row r="143" customFormat="false" ht="1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1"/>
      <c r="K143" s="20"/>
      <c r="L143" s="20"/>
    </row>
    <row r="144" customFormat="false" ht="1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1"/>
      <c r="K144" s="20"/>
      <c r="L144" s="20"/>
    </row>
    <row r="145" customFormat="false" ht="1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1"/>
      <c r="K145" s="20"/>
      <c r="L145" s="20"/>
    </row>
    <row r="146" customFormat="false" ht="1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1"/>
      <c r="K146" s="20"/>
      <c r="L146" s="20"/>
    </row>
    <row r="147" customFormat="false" ht="1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1"/>
      <c r="K147" s="20"/>
      <c r="L147" s="20"/>
    </row>
    <row r="148" customFormat="false" ht="1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1"/>
      <c r="K148" s="20"/>
      <c r="L148" s="20"/>
    </row>
    <row r="149" customFormat="false" ht="1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1"/>
      <c r="K149" s="20"/>
      <c r="L149" s="20"/>
    </row>
    <row r="150" customFormat="false" ht="1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1"/>
      <c r="K150" s="20"/>
      <c r="L150" s="20"/>
    </row>
    <row r="151" customFormat="false" ht="1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1"/>
      <c r="K151" s="20"/>
      <c r="L151" s="20"/>
    </row>
    <row r="152" customFormat="false" ht="1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1"/>
      <c r="K152" s="20"/>
      <c r="L152" s="20"/>
    </row>
    <row r="153" customFormat="false" ht="1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1"/>
      <c r="K153" s="20"/>
      <c r="L153" s="20"/>
    </row>
    <row r="154" customFormat="false" ht="1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1"/>
      <c r="K154" s="20"/>
      <c r="L154" s="20"/>
    </row>
    <row r="155" customFormat="false" ht="1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1"/>
      <c r="K155" s="20"/>
      <c r="L155" s="20"/>
    </row>
    <row r="156" customFormat="false" ht="1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1"/>
      <c r="K156" s="20"/>
      <c r="L156" s="20"/>
    </row>
    <row r="157" customFormat="false" ht="1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1"/>
      <c r="K157" s="20"/>
      <c r="L157" s="20"/>
    </row>
    <row r="158" customFormat="false" ht="1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1"/>
      <c r="K158" s="20"/>
      <c r="L158" s="20"/>
    </row>
    <row r="159" customFormat="false" ht="1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1"/>
      <c r="K159" s="20"/>
      <c r="L159" s="20"/>
    </row>
    <row r="160" customFormat="false" ht="1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1"/>
      <c r="K160" s="20"/>
      <c r="L160" s="20"/>
    </row>
    <row r="161" customFormat="false" ht="1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1"/>
      <c r="K161" s="20"/>
      <c r="L161" s="20"/>
    </row>
    <row r="162" customFormat="false" ht="1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1"/>
      <c r="K162" s="20"/>
      <c r="L162" s="20"/>
    </row>
    <row r="163" customFormat="false" ht="1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1"/>
      <c r="K163" s="20"/>
      <c r="L163" s="20"/>
    </row>
    <row r="164" customFormat="false" ht="1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1"/>
      <c r="K164" s="20"/>
      <c r="L164" s="20"/>
    </row>
    <row r="165" customFormat="false" ht="1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1"/>
      <c r="K165" s="20"/>
      <c r="L165" s="20"/>
    </row>
    <row r="166" customFormat="false" ht="1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1"/>
      <c r="K166" s="20"/>
      <c r="L166" s="20"/>
    </row>
    <row r="167" customFormat="false" ht="1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1"/>
      <c r="K167" s="20"/>
      <c r="L167" s="20"/>
    </row>
    <row r="168" customFormat="false" ht="1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1"/>
      <c r="K168" s="20"/>
      <c r="L168" s="20"/>
    </row>
    <row r="169" customFormat="false" ht="1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1"/>
      <c r="K169" s="20"/>
      <c r="L169" s="20"/>
    </row>
    <row r="170" customFormat="false" ht="1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1"/>
      <c r="K170" s="20"/>
      <c r="L170" s="20"/>
    </row>
    <row r="171" customFormat="false" ht="1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1"/>
      <c r="K171" s="20"/>
      <c r="L171" s="20"/>
    </row>
    <row r="172" customFormat="false" ht="1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1"/>
      <c r="K172" s="20"/>
      <c r="L172" s="20"/>
    </row>
    <row r="173" customFormat="false" ht="1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1"/>
      <c r="K173" s="20"/>
      <c r="L173" s="20"/>
    </row>
    <row r="174" customFormat="false" ht="1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1"/>
      <c r="K174" s="20"/>
      <c r="L174" s="20"/>
    </row>
    <row r="175" customFormat="false" ht="1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1"/>
      <c r="K175" s="20"/>
      <c r="L175" s="20"/>
    </row>
    <row r="176" customFormat="false" ht="1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1"/>
      <c r="K176" s="20"/>
      <c r="L176" s="20"/>
    </row>
    <row r="177" customFormat="false" ht="1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1"/>
      <c r="K177" s="20"/>
      <c r="L177" s="20"/>
    </row>
    <row r="178" customFormat="false" ht="1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1"/>
      <c r="K178" s="20"/>
      <c r="L178" s="20"/>
    </row>
    <row r="179" customFormat="false" ht="1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1"/>
      <c r="K179" s="20"/>
      <c r="L179" s="20"/>
    </row>
    <row r="180" customFormat="false" ht="1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1"/>
      <c r="K180" s="20"/>
      <c r="L180" s="20"/>
    </row>
    <row r="181" customFormat="false" ht="1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1"/>
      <c r="K181" s="20"/>
      <c r="L181" s="20"/>
    </row>
    <row r="182" customFormat="false" ht="1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1"/>
      <c r="K182" s="20"/>
      <c r="L182" s="20"/>
    </row>
    <row r="183" customFormat="false" ht="1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1"/>
      <c r="K183" s="20"/>
      <c r="L183" s="20"/>
    </row>
    <row r="184" customFormat="false" ht="1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1"/>
      <c r="K184" s="20"/>
      <c r="L184" s="20"/>
    </row>
    <row r="185" customFormat="false" ht="1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1"/>
      <c r="K185" s="20"/>
      <c r="L185" s="20"/>
    </row>
    <row r="186" customFormat="false" ht="1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1"/>
      <c r="K186" s="20"/>
      <c r="L186" s="20"/>
    </row>
    <row r="187" customFormat="false" ht="1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1"/>
      <c r="K187" s="20"/>
      <c r="L187" s="20"/>
    </row>
    <row r="188" customFormat="false" ht="1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1"/>
      <c r="K188" s="20"/>
      <c r="L188" s="20"/>
    </row>
    <row r="189" customFormat="false" ht="1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1"/>
      <c r="K189" s="20"/>
      <c r="L189" s="20"/>
    </row>
    <row r="190" customFormat="false" ht="1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1"/>
      <c r="K190" s="20"/>
      <c r="L190" s="20"/>
    </row>
    <row r="191" customFormat="false" ht="1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1"/>
      <c r="K191" s="20"/>
      <c r="L191" s="20"/>
    </row>
    <row r="192" customFormat="false" ht="1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1"/>
      <c r="K192" s="20"/>
      <c r="L192" s="20"/>
    </row>
    <row r="193" customFormat="false" ht="1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1"/>
      <c r="K193" s="20"/>
      <c r="L193" s="20"/>
    </row>
    <row r="194" customFormat="false" ht="1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1"/>
      <c r="K194" s="20"/>
      <c r="L194" s="20"/>
    </row>
    <row r="195" customFormat="false" ht="1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1"/>
      <c r="K195" s="20"/>
      <c r="L195" s="20"/>
    </row>
    <row r="196" customFormat="false" ht="1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1"/>
      <c r="K196" s="20"/>
      <c r="L196" s="20"/>
    </row>
    <row r="197" customFormat="false" ht="1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1"/>
      <c r="K197" s="20"/>
      <c r="L197" s="20"/>
    </row>
    <row r="198" customFormat="false" ht="1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1"/>
      <c r="K198" s="20"/>
      <c r="L198" s="20"/>
    </row>
    <row r="199" customFormat="false" ht="1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1"/>
      <c r="K199" s="20"/>
      <c r="L199" s="20"/>
    </row>
    <row r="200" customFormat="false" ht="1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1"/>
      <c r="K200" s="20"/>
      <c r="L200" s="20"/>
    </row>
  </sheetData>
  <autoFilter ref="A1:L200"/>
  <dataValidations count="4">
    <dataValidation allowBlank="true" error="Choose a value from the list (see the Lists sheet)." errorStyle="stop" errorTitle="Not in list" operator="between" showDropDown="false" showErrorMessage="false" showInputMessage="false" sqref="C2:C200" type="list">
      <formula1>Lists!$P$2:$P$3</formula1>
      <formula2>0</formula2>
    </dataValidation>
    <dataValidation allowBlank="true" error="Choose a value from the list (see the Lists sheet)." errorStyle="stop" errorTitle="Not in list" operator="between" showDropDown="false" showErrorMessage="false" showInputMessage="false" sqref="D2:D200" type="list">
      <formula1>Lists!$Q$2:$Q$3</formula1>
      <formula2>0</formula2>
    </dataValidation>
    <dataValidation allowBlank="true" error="Choose a value from the list (see the Lists sheet)." errorStyle="stop" errorTitle="Not in list" operator="between" showDropDown="false" showErrorMessage="false" showInputMessage="false" sqref="H2:H200" type="list">
      <formula1>Lists!$R$2:$R$4</formula1>
      <formula2>0</formula2>
    </dataValidation>
    <dataValidation allowBlank="true" error="Choose a value from the list (see the Lists sheet)." errorStyle="stop" errorTitle="Not in list" operator="between" showDropDown="false" showErrorMessage="false" showInputMessage="false" sqref="K2:K200" type="list">
      <formula1>Lists!$N$2:$N$5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3341F"/>
    <pageSetUpPr fitToPage="true"/>
  </sheetPr>
  <dimension ref="A1:K1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4" min="3" style="0" width="30"/>
    <col collapsed="false" customWidth="true" hidden="false" outlineLevel="0" max="5" min="5" style="0" width="9"/>
    <col collapsed="false" customWidth="true" hidden="false" outlineLevel="0" max="7" min="6" style="0" width="16"/>
    <col collapsed="false" customWidth="true" hidden="false" outlineLevel="0" max="10" min="8" style="0" width="11"/>
    <col collapsed="false" customWidth="true" hidden="false" outlineLevel="0" max="11" min="11" style="0" width="9"/>
  </cols>
  <sheetData>
    <row r="1" customFormat="false" ht="42" hidden="false" customHeight="true" outlineLevel="0" collapsed="false">
      <c r="A1" s="16" t="s">
        <v>322</v>
      </c>
      <c r="B1" s="16" t="s">
        <v>355</v>
      </c>
      <c r="C1" s="16" t="s">
        <v>356</v>
      </c>
      <c r="D1" s="16" t="s">
        <v>357</v>
      </c>
      <c r="E1" s="16" t="s">
        <v>358</v>
      </c>
      <c r="F1" s="16" t="s">
        <v>359</v>
      </c>
      <c r="G1" s="16" t="s">
        <v>360</v>
      </c>
      <c r="H1" s="16" t="s">
        <v>361</v>
      </c>
      <c r="I1" s="16" t="s">
        <v>362</v>
      </c>
      <c r="J1" s="16" t="s">
        <v>84</v>
      </c>
      <c r="K1" s="24" t="s">
        <v>363</v>
      </c>
    </row>
    <row r="2" customFormat="false" ht="35.05" hidden="false" customHeight="false" outlineLevel="0" collapsed="false">
      <c r="A2" s="25" t="s">
        <v>335</v>
      </c>
      <c r="B2" s="25" t="s">
        <v>325</v>
      </c>
      <c r="C2" s="25" t="s">
        <v>364</v>
      </c>
      <c r="D2" s="25" t="s">
        <v>365</v>
      </c>
      <c r="E2" s="25" t="s">
        <v>241</v>
      </c>
      <c r="F2" s="25" t="s">
        <v>329</v>
      </c>
      <c r="G2" s="25" t="s">
        <v>366</v>
      </c>
      <c r="H2" s="26" t="n">
        <v>46322</v>
      </c>
      <c r="I2" s="26" t="n">
        <v>46346</v>
      </c>
      <c r="J2" s="25" t="s">
        <v>367</v>
      </c>
      <c r="K2" s="25" t="n">
        <f aca="true">IF(OR(I2="",J2="Closed",J2="Rejected"),"",I2-TODAY())</f>
        <v>25</v>
      </c>
    </row>
    <row r="3" customFormat="false" ht="15" hidden="false" customHeight="false" outlineLevel="0" collapsed="false">
      <c r="A3" s="20"/>
      <c r="B3" s="20"/>
      <c r="C3" s="20"/>
      <c r="D3" s="20"/>
      <c r="E3" s="20"/>
      <c r="F3" s="20"/>
      <c r="G3" s="20"/>
      <c r="H3" s="21"/>
      <c r="I3" s="21"/>
      <c r="J3" s="20"/>
      <c r="K3" s="27" t="str">
        <f aca="true">IF(OR(I3="",J3="Closed",J3="Rejected"),"",I3-TODAY())</f>
        <v/>
      </c>
    </row>
    <row r="4" customFormat="false" ht="15" hidden="false" customHeight="false" outlineLevel="0" collapsed="false">
      <c r="A4" s="20"/>
      <c r="B4" s="20"/>
      <c r="C4" s="20"/>
      <c r="D4" s="20"/>
      <c r="E4" s="20"/>
      <c r="F4" s="20"/>
      <c r="G4" s="20"/>
      <c r="H4" s="21"/>
      <c r="I4" s="21"/>
      <c r="J4" s="20"/>
      <c r="K4" s="27" t="str">
        <f aca="true">IF(OR(I4="",J4="Closed",J4="Rejected"),"",I4-TODAY())</f>
        <v/>
      </c>
    </row>
    <row r="5" customFormat="false" ht="15" hidden="false" customHeight="false" outlineLevel="0" collapsed="false">
      <c r="A5" s="20"/>
      <c r="B5" s="20"/>
      <c r="C5" s="20"/>
      <c r="D5" s="20"/>
      <c r="E5" s="20"/>
      <c r="F5" s="20"/>
      <c r="G5" s="20"/>
      <c r="H5" s="21"/>
      <c r="I5" s="21"/>
      <c r="J5" s="20"/>
      <c r="K5" s="27" t="str">
        <f aca="true">IF(OR(I5="",J5="Closed",J5="Rejected"),"",I5-TODAY())</f>
        <v/>
      </c>
    </row>
    <row r="6" customFormat="false" ht="15" hidden="false" customHeight="false" outlineLevel="0" collapsed="false">
      <c r="A6" s="20"/>
      <c r="B6" s="20"/>
      <c r="C6" s="20"/>
      <c r="D6" s="20"/>
      <c r="E6" s="20"/>
      <c r="F6" s="20"/>
      <c r="G6" s="20"/>
      <c r="H6" s="21"/>
      <c r="I6" s="21"/>
      <c r="J6" s="20"/>
      <c r="K6" s="27" t="str">
        <f aca="true">IF(OR(I6="",J6="Closed",J6="Rejected"),"",I6-TODAY())</f>
        <v/>
      </c>
    </row>
    <row r="7" customFormat="false" ht="15" hidden="false" customHeight="false" outlineLevel="0" collapsed="false">
      <c r="A7" s="20"/>
      <c r="B7" s="20"/>
      <c r="C7" s="20"/>
      <c r="D7" s="20"/>
      <c r="E7" s="20"/>
      <c r="F7" s="20"/>
      <c r="G7" s="20"/>
      <c r="H7" s="21"/>
      <c r="I7" s="21"/>
      <c r="J7" s="20"/>
      <c r="K7" s="27" t="str">
        <f aca="true">IF(OR(I7="",J7="Closed",J7="Rejected"),"",I7-TODAY())</f>
        <v/>
      </c>
    </row>
    <row r="8" customFormat="false" ht="15" hidden="false" customHeight="false" outlineLevel="0" collapsed="false">
      <c r="A8" s="20"/>
      <c r="B8" s="20"/>
      <c r="C8" s="20"/>
      <c r="D8" s="20"/>
      <c r="E8" s="20"/>
      <c r="F8" s="20"/>
      <c r="G8" s="20"/>
      <c r="H8" s="21"/>
      <c r="I8" s="21"/>
      <c r="J8" s="20"/>
      <c r="K8" s="27" t="str">
        <f aca="true">IF(OR(I8="",J8="Closed",J8="Rejected"),"",I8-TODAY())</f>
        <v/>
      </c>
    </row>
    <row r="9" customFormat="false" ht="15" hidden="false" customHeight="false" outlineLevel="0" collapsed="false">
      <c r="A9" s="20"/>
      <c r="B9" s="20"/>
      <c r="C9" s="20"/>
      <c r="D9" s="20"/>
      <c r="E9" s="20"/>
      <c r="F9" s="20"/>
      <c r="G9" s="20"/>
      <c r="H9" s="21"/>
      <c r="I9" s="21"/>
      <c r="J9" s="20"/>
      <c r="K9" s="27" t="str">
        <f aca="true">IF(OR(I9="",J9="Closed",J9="Rejected"),"",I9-TODAY())</f>
        <v/>
      </c>
    </row>
    <row r="10" customFormat="false" ht="15" hidden="false" customHeight="false" outlineLevel="0" collapsed="false">
      <c r="A10" s="20"/>
      <c r="B10" s="20"/>
      <c r="C10" s="20"/>
      <c r="D10" s="20"/>
      <c r="E10" s="20"/>
      <c r="F10" s="20"/>
      <c r="G10" s="20"/>
      <c r="H10" s="21"/>
      <c r="I10" s="21"/>
      <c r="J10" s="20"/>
      <c r="K10" s="27" t="str">
        <f aca="true">IF(OR(I10="",J10="Closed",J10="Rejected"),"",I10-TODAY())</f>
        <v/>
      </c>
    </row>
    <row r="11" customFormat="false" ht="15" hidden="false" customHeight="false" outlineLevel="0" collapsed="false">
      <c r="A11" s="20"/>
      <c r="B11" s="20"/>
      <c r="C11" s="20"/>
      <c r="D11" s="20"/>
      <c r="E11" s="20"/>
      <c r="F11" s="20"/>
      <c r="G11" s="20"/>
      <c r="H11" s="21"/>
      <c r="I11" s="21"/>
      <c r="J11" s="20"/>
      <c r="K11" s="27" t="str">
        <f aca="true">IF(OR(I11="",J11="Closed",J11="Rejected"),"",I11-TODAY())</f>
        <v/>
      </c>
    </row>
    <row r="12" customFormat="false" ht="15" hidden="false" customHeight="false" outlineLevel="0" collapsed="false">
      <c r="A12" s="20"/>
      <c r="B12" s="20"/>
      <c r="C12" s="20"/>
      <c r="D12" s="20"/>
      <c r="E12" s="20"/>
      <c r="F12" s="20"/>
      <c r="G12" s="20"/>
      <c r="H12" s="21"/>
      <c r="I12" s="21"/>
      <c r="J12" s="20"/>
      <c r="K12" s="27" t="str">
        <f aca="true">IF(OR(I12="",J12="Closed",J12="Rejected"),"",I12-TODAY())</f>
        <v/>
      </c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0"/>
      <c r="G13" s="20"/>
      <c r="H13" s="21"/>
      <c r="I13" s="21"/>
      <c r="J13" s="20"/>
      <c r="K13" s="27" t="str">
        <f aca="true">IF(OR(I13="",J13="Closed",J13="Rejected"),"",I13-TODAY())</f>
        <v/>
      </c>
    </row>
    <row r="14" customFormat="false" ht="15" hidden="false" customHeight="false" outlineLevel="0" collapsed="false">
      <c r="A14" s="20"/>
      <c r="B14" s="20"/>
      <c r="C14" s="20"/>
      <c r="D14" s="20"/>
      <c r="E14" s="20"/>
      <c r="F14" s="20"/>
      <c r="G14" s="20"/>
      <c r="H14" s="21"/>
      <c r="I14" s="21"/>
      <c r="J14" s="20"/>
      <c r="K14" s="27" t="str">
        <f aca="true">IF(OR(I14="",J14="Closed",J14="Rejected"),"",I14-TODAY())</f>
        <v/>
      </c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0"/>
      <c r="G15" s="20"/>
      <c r="H15" s="21"/>
      <c r="I15" s="21"/>
      <c r="J15" s="20"/>
      <c r="K15" s="27" t="str">
        <f aca="true">IF(OR(I15="",J15="Closed",J15="Rejected"),"",I15-TODAY())</f>
        <v/>
      </c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0"/>
      <c r="G16" s="20"/>
      <c r="H16" s="21"/>
      <c r="I16" s="21"/>
      <c r="J16" s="20"/>
      <c r="K16" s="27" t="str">
        <f aca="true">IF(OR(I16="",J16="Closed",J16="Rejected"),"",I16-TODAY())</f>
        <v/>
      </c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  <c r="H17" s="21"/>
      <c r="I17" s="21"/>
      <c r="J17" s="20"/>
      <c r="K17" s="27" t="str">
        <f aca="true">IF(OR(I17="",J17="Closed",J17="Rejected"),"",I17-TODAY())</f>
        <v/>
      </c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0"/>
      <c r="G18" s="20"/>
      <c r="H18" s="21"/>
      <c r="I18" s="21"/>
      <c r="J18" s="20"/>
      <c r="K18" s="27" t="str">
        <f aca="true">IF(OR(I18="",J18="Closed",J18="Rejected"),"",I18-TODAY())</f>
        <v/>
      </c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1"/>
      <c r="I19" s="21"/>
      <c r="J19" s="20"/>
      <c r="K19" s="27" t="str">
        <f aca="true">IF(OR(I19="",J19="Closed",J19="Rejected"),"",I19-TODAY())</f>
        <v/>
      </c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  <c r="G20" s="20"/>
      <c r="H20" s="21"/>
      <c r="I20" s="21"/>
      <c r="J20" s="20"/>
      <c r="K20" s="27" t="str">
        <f aca="true">IF(OR(I20="",J20="Closed",J20="Rejected"),"",I20-TODAY())</f>
        <v/>
      </c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  <c r="H21" s="21"/>
      <c r="I21" s="21"/>
      <c r="J21" s="20"/>
      <c r="K21" s="27" t="str">
        <f aca="true">IF(OR(I21="",J21="Closed",J21="Rejected"),"",I21-TODAY())</f>
        <v/>
      </c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0"/>
      <c r="G22" s="20"/>
      <c r="H22" s="21"/>
      <c r="I22" s="21"/>
      <c r="J22" s="20"/>
      <c r="K22" s="27" t="str">
        <f aca="true">IF(OR(I22="",J22="Closed",J22="Rejected"),"",I22-TODAY())</f>
        <v/>
      </c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  <c r="G23" s="20"/>
      <c r="H23" s="21"/>
      <c r="I23" s="21"/>
      <c r="J23" s="20"/>
      <c r="K23" s="27" t="str">
        <f aca="true">IF(OR(I23="",J23="Closed",J23="Rejected"),"",I23-TODAY())</f>
        <v/>
      </c>
    </row>
    <row r="24" customFormat="false" ht="15" hidden="false" customHeight="false" outlineLevel="0" collapsed="false">
      <c r="A24" s="20"/>
      <c r="B24" s="20"/>
      <c r="C24" s="20"/>
      <c r="D24" s="20"/>
      <c r="E24" s="20"/>
      <c r="F24" s="20"/>
      <c r="G24" s="20"/>
      <c r="H24" s="21"/>
      <c r="I24" s="21"/>
      <c r="J24" s="20"/>
      <c r="K24" s="27" t="str">
        <f aca="true">IF(OR(I24="",J24="Closed",J24="Rejected"),"",I24-TODAY())</f>
        <v/>
      </c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0"/>
      <c r="G25" s="20"/>
      <c r="H25" s="21"/>
      <c r="I25" s="21"/>
      <c r="J25" s="20"/>
      <c r="K25" s="27" t="str">
        <f aca="true">IF(OR(I25="",J25="Closed",J25="Rejected"),"",I25-TODAY())</f>
        <v/>
      </c>
    </row>
    <row r="26" customFormat="false" ht="15" hidden="false" customHeight="false" outlineLevel="0" collapsed="false">
      <c r="A26" s="20"/>
      <c r="B26" s="20"/>
      <c r="C26" s="20"/>
      <c r="D26" s="20"/>
      <c r="E26" s="20"/>
      <c r="F26" s="20"/>
      <c r="G26" s="20"/>
      <c r="H26" s="21"/>
      <c r="I26" s="21"/>
      <c r="J26" s="20"/>
      <c r="K26" s="27" t="str">
        <f aca="true">IF(OR(I26="",J26="Closed",J26="Rejected"),"",I26-TODAY())</f>
        <v/>
      </c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0"/>
      <c r="G27" s="20"/>
      <c r="H27" s="21"/>
      <c r="I27" s="21"/>
      <c r="J27" s="20"/>
      <c r="K27" s="27" t="str">
        <f aca="true">IF(OR(I27="",J27="Closed",J27="Rejected"),"",I27-TODAY())</f>
        <v/>
      </c>
    </row>
    <row r="28" customFormat="false" ht="15" hidden="false" customHeight="false" outlineLevel="0" collapsed="false">
      <c r="A28" s="20"/>
      <c r="B28" s="20"/>
      <c r="C28" s="20"/>
      <c r="D28" s="20"/>
      <c r="E28" s="20"/>
      <c r="F28" s="20"/>
      <c r="G28" s="20"/>
      <c r="H28" s="21"/>
      <c r="I28" s="21"/>
      <c r="J28" s="20"/>
      <c r="K28" s="27" t="str">
        <f aca="true">IF(OR(I28="",J28="Closed",J28="Rejected"),"",I28-TODAY())</f>
        <v/>
      </c>
    </row>
    <row r="29" customFormat="false" ht="15" hidden="false" customHeight="false" outlineLevel="0" collapsed="false">
      <c r="A29" s="20"/>
      <c r="B29" s="20"/>
      <c r="C29" s="20"/>
      <c r="D29" s="20"/>
      <c r="E29" s="20"/>
      <c r="F29" s="20"/>
      <c r="G29" s="20"/>
      <c r="H29" s="21"/>
      <c r="I29" s="21"/>
      <c r="J29" s="20"/>
      <c r="K29" s="27" t="str">
        <f aca="true">IF(OR(I29="",J29="Closed",J29="Rejected"),"",I29-TODAY())</f>
        <v/>
      </c>
    </row>
    <row r="30" customFormat="false" ht="15" hidden="false" customHeight="false" outlineLevel="0" collapsed="false">
      <c r="A30" s="20"/>
      <c r="B30" s="20"/>
      <c r="C30" s="20"/>
      <c r="D30" s="20"/>
      <c r="E30" s="20"/>
      <c r="F30" s="20"/>
      <c r="G30" s="20"/>
      <c r="H30" s="21"/>
      <c r="I30" s="21"/>
      <c r="J30" s="20"/>
      <c r="K30" s="27" t="str">
        <f aca="true">IF(OR(I30="",J30="Closed",J30="Rejected"),"",I30-TODAY())</f>
        <v/>
      </c>
    </row>
    <row r="31" customFormat="false" ht="15" hidden="false" customHeight="false" outlineLevel="0" collapsed="false">
      <c r="A31" s="20"/>
      <c r="B31" s="20"/>
      <c r="C31" s="20"/>
      <c r="D31" s="20"/>
      <c r="E31" s="20"/>
      <c r="F31" s="20"/>
      <c r="G31" s="20"/>
      <c r="H31" s="21"/>
      <c r="I31" s="21"/>
      <c r="J31" s="20"/>
      <c r="K31" s="27" t="str">
        <f aca="true">IF(OR(I31="",J31="Closed",J31="Rejected"),"",I31-TODAY())</f>
        <v/>
      </c>
    </row>
    <row r="32" customFormat="false" ht="15" hidden="false" customHeight="false" outlineLevel="0" collapsed="false">
      <c r="A32" s="20"/>
      <c r="B32" s="20"/>
      <c r="C32" s="20"/>
      <c r="D32" s="20"/>
      <c r="E32" s="20"/>
      <c r="F32" s="20"/>
      <c r="G32" s="20"/>
      <c r="H32" s="21"/>
      <c r="I32" s="21"/>
      <c r="J32" s="20"/>
      <c r="K32" s="27" t="str">
        <f aca="true">IF(OR(I32="",J32="Closed",J32="Rejected"),"",I32-TODAY())</f>
        <v/>
      </c>
    </row>
    <row r="33" customFormat="false" ht="15" hidden="false" customHeight="false" outlineLevel="0" collapsed="false">
      <c r="A33" s="20"/>
      <c r="B33" s="20"/>
      <c r="C33" s="20"/>
      <c r="D33" s="20"/>
      <c r="E33" s="20"/>
      <c r="F33" s="20"/>
      <c r="G33" s="20"/>
      <c r="H33" s="21"/>
      <c r="I33" s="21"/>
      <c r="J33" s="20"/>
      <c r="K33" s="27" t="str">
        <f aca="true">IF(OR(I33="",J33="Closed",J33="Rejected"),"",I33-TODAY())</f>
        <v/>
      </c>
    </row>
    <row r="34" customFormat="false" ht="15" hidden="false" customHeight="false" outlineLevel="0" collapsed="false">
      <c r="A34" s="20"/>
      <c r="B34" s="20"/>
      <c r="C34" s="20"/>
      <c r="D34" s="20"/>
      <c r="E34" s="20"/>
      <c r="F34" s="20"/>
      <c r="G34" s="20"/>
      <c r="H34" s="21"/>
      <c r="I34" s="21"/>
      <c r="J34" s="20"/>
      <c r="K34" s="27" t="str">
        <f aca="true">IF(OR(I34="",J34="Closed",J34="Rejected"),"",I34-TODAY())</f>
        <v/>
      </c>
    </row>
    <row r="35" customFormat="false" ht="15" hidden="false" customHeight="false" outlineLevel="0" collapsed="false">
      <c r="A35" s="20"/>
      <c r="B35" s="20"/>
      <c r="C35" s="20"/>
      <c r="D35" s="20"/>
      <c r="E35" s="20"/>
      <c r="F35" s="20"/>
      <c r="G35" s="20"/>
      <c r="H35" s="21"/>
      <c r="I35" s="21"/>
      <c r="J35" s="20"/>
      <c r="K35" s="27" t="str">
        <f aca="true">IF(OR(I35="",J35="Closed",J35="Rejected"),"",I35-TODAY())</f>
        <v/>
      </c>
    </row>
    <row r="36" customFormat="false" ht="15" hidden="false" customHeight="false" outlineLevel="0" collapsed="false">
      <c r="A36" s="20"/>
      <c r="B36" s="20"/>
      <c r="C36" s="20"/>
      <c r="D36" s="20"/>
      <c r="E36" s="20"/>
      <c r="F36" s="20"/>
      <c r="G36" s="20"/>
      <c r="H36" s="21"/>
      <c r="I36" s="21"/>
      <c r="J36" s="20"/>
      <c r="K36" s="27" t="str">
        <f aca="true">IF(OR(I36="",J36="Closed",J36="Rejected"),"",I36-TODAY())</f>
        <v/>
      </c>
    </row>
    <row r="37" customFormat="false" ht="15" hidden="false" customHeight="false" outlineLevel="0" collapsed="false">
      <c r="A37" s="20"/>
      <c r="B37" s="20"/>
      <c r="C37" s="20"/>
      <c r="D37" s="20"/>
      <c r="E37" s="20"/>
      <c r="F37" s="20"/>
      <c r="G37" s="20"/>
      <c r="H37" s="21"/>
      <c r="I37" s="21"/>
      <c r="J37" s="20"/>
      <c r="K37" s="27" t="str">
        <f aca="true">IF(OR(I37="",J37="Closed",J37="Rejected"),"",I37-TODAY())</f>
        <v/>
      </c>
    </row>
    <row r="38" customFormat="false" ht="15" hidden="false" customHeight="false" outlineLevel="0" collapsed="false">
      <c r="A38" s="20"/>
      <c r="B38" s="20"/>
      <c r="C38" s="20"/>
      <c r="D38" s="20"/>
      <c r="E38" s="20"/>
      <c r="F38" s="20"/>
      <c r="G38" s="20"/>
      <c r="H38" s="21"/>
      <c r="I38" s="21"/>
      <c r="J38" s="20"/>
      <c r="K38" s="27" t="str">
        <f aca="true">IF(OR(I38="",J38="Closed",J38="Rejected"),"",I38-TODAY())</f>
        <v/>
      </c>
    </row>
    <row r="39" customFormat="false" ht="15" hidden="false" customHeight="false" outlineLevel="0" collapsed="false">
      <c r="A39" s="20"/>
      <c r="B39" s="20"/>
      <c r="C39" s="20"/>
      <c r="D39" s="20"/>
      <c r="E39" s="20"/>
      <c r="F39" s="20"/>
      <c r="G39" s="20"/>
      <c r="H39" s="21"/>
      <c r="I39" s="21"/>
      <c r="J39" s="20"/>
      <c r="K39" s="27" t="str">
        <f aca="true">IF(OR(I39="",J39="Closed",J39="Rejected"),"",I39-TODAY())</f>
        <v/>
      </c>
    </row>
    <row r="40" customFormat="false" ht="15" hidden="false" customHeight="false" outlineLevel="0" collapsed="false">
      <c r="A40" s="20"/>
      <c r="B40" s="20"/>
      <c r="C40" s="20"/>
      <c r="D40" s="20"/>
      <c r="E40" s="20"/>
      <c r="F40" s="20"/>
      <c r="G40" s="20"/>
      <c r="H40" s="21"/>
      <c r="I40" s="21"/>
      <c r="J40" s="20"/>
      <c r="K40" s="27" t="str">
        <f aca="true">IF(OR(I40="",J40="Closed",J40="Rejected"),"",I40-TODAY())</f>
        <v/>
      </c>
    </row>
    <row r="41" customFormat="false" ht="15" hidden="false" customHeight="false" outlineLevel="0" collapsed="false">
      <c r="A41" s="20"/>
      <c r="B41" s="20"/>
      <c r="C41" s="20"/>
      <c r="D41" s="20"/>
      <c r="E41" s="20"/>
      <c r="F41" s="20"/>
      <c r="G41" s="20"/>
      <c r="H41" s="21"/>
      <c r="I41" s="21"/>
      <c r="J41" s="20"/>
      <c r="K41" s="27" t="str">
        <f aca="true">IF(OR(I41="",J41="Closed",J41="Rejected"),"",I41-TODAY())</f>
        <v/>
      </c>
    </row>
    <row r="42" customFormat="false" ht="15" hidden="false" customHeight="false" outlineLevel="0" collapsed="false">
      <c r="A42" s="20"/>
      <c r="B42" s="20"/>
      <c r="C42" s="20"/>
      <c r="D42" s="20"/>
      <c r="E42" s="20"/>
      <c r="F42" s="20"/>
      <c r="G42" s="20"/>
      <c r="H42" s="21"/>
      <c r="I42" s="21"/>
      <c r="J42" s="20"/>
      <c r="K42" s="27" t="str">
        <f aca="true">IF(OR(I42="",J42="Closed",J42="Rejected"),"",I42-TODAY())</f>
        <v/>
      </c>
    </row>
    <row r="43" customFormat="false" ht="15" hidden="false" customHeight="false" outlineLevel="0" collapsed="false">
      <c r="A43" s="20"/>
      <c r="B43" s="20"/>
      <c r="C43" s="20"/>
      <c r="D43" s="20"/>
      <c r="E43" s="20"/>
      <c r="F43" s="20"/>
      <c r="G43" s="20"/>
      <c r="H43" s="21"/>
      <c r="I43" s="21"/>
      <c r="J43" s="20"/>
      <c r="K43" s="27" t="str">
        <f aca="true">IF(OR(I43="",J43="Closed",J43="Rejected"),"",I43-TODAY())</f>
        <v/>
      </c>
    </row>
    <row r="44" customFormat="false" ht="15" hidden="false" customHeight="false" outlineLevel="0" collapsed="false">
      <c r="A44" s="20"/>
      <c r="B44" s="20"/>
      <c r="C44" s="20"/>
      <c r="D44" s="20"/>
      <c r="E44" s="20"/>
      <c r="F44" s="20"/>
      <c r="G44" s="20"/>
      <c r="H44" s="21"/>
      <c r="I44" s="21"/>
      <c r="J44" s="20"/>
      <c r="K44" s="27" t="str">
        <f aca="true">IF(OR(I44="",J44="Closed",J44="Rejected"),"",I44-TODAY())</f>
        <v/>
      </c>
    </row>
    <row r="45" customFormat="false" ht="15" hidden="false" customHeight="false" outlineLevel="0" collapsed="false">
      <c r="A45" s="20"/>
      <c r="B45" s="20"/>
      <c r="C45" s="20"/>
      <c r="D45" s="20"/>
      <c r="E45" s="20"/>
      <c r="F45" s="20"/>
      <c r="G45" s="20"/>
      <c r="H45" s="21"/>
      <c r="I45" s="21"/>
      <c r="J45" s="20"/>
      <c r="K45" s="27" t="str">
        <f aca="true">IF(OR(I45="",J45="Closed",J45="Rejected"),"",I45-TODAY())</f>
        <v/>
      </c>
    </row>
    <row r="46" customFormat="false" ht="15" hidden="false" customHeight="false" outlineLevel="0" collapsed="false">
      <c r="A46" s="20"/>
      <c r="B46" s="20"/>
      <c r="C46" s="20"/>
      <c r="D46" s="20"/>
      <c r="E46" s="20"/>
      <c r="F46" s="20"/>
      <c r="G46" s="20"/>
      <c r="H46" s="21"/>
      <c r="I46" s="21"/>
      <c r="J46" s="20"/>
      <c r="K46" s="27" t="str">
        <f aca="true">IF(OR(I46="",J46="Closed",J46="Rejected"),"",I46-TODAY())</f>
        <v/>
      </c>
    </row>
    <row r="47" customFormat="false" ht="15" hidden="false" customHeight="false" outlineLevel="0" collapsed="false">
      <c r="A47" s="20"/>
      <c r="B47" s="20"/>
      <c r="C47" s="20"/>
      <c r="D47" s="20"/>
      <c r="E47" s="20"/>
      <c r="F47" s="20"/>
      <c r="G47" s="20"/>
      <c r="H47" s="21"/>
      <c r="I47" s="21"/>
      <c r="J47" s="20"/>
      <c r="K47" s="27" t="str">
        <f aca="true">IF(OR(I47="",J47="Closed",J47="Rejected"),"",I47-TODAY())</f>
        <v/>
      </c>
    </row>
    <row r="48" customFormat="false" ht="15" hidden="false" customHeight="false" outlineLevel="0" collapsed="false">
      <c r="A48" s="20"/>
      <c r="B48" s="20"/>
      <c r="C48" s="20"/>
      <c r="D48" s="20"/>
      <c r="E48" s="20"/>
      <c r="F48" s="20"/>
      <c r="G48" s="20"/>
      <c r="H48" s="21"/>
      <c r="I48" s="21"/>
      <c r="J48" s="20"/>
      <c r="K48" s="27" t="str">
        <f aca="true">IF(OR(I48="",J48="Closed",J48="Rejected"),"",I48-TODAY())</f>
        <v/>
      </c>
    </row>
    <row r="49" customFormat="false" ht="15" hidden="false" customHeight="false" outlineLevel="0" collapsed="false">
      <c r="A49" s="20"/>
      <c r="B49" s="20"/>
      <c r="C49" s="20"/>
      <c r="D49" s="20"/>
      <c r="E49" s="20"/>
      <c r="F49" s="20"/>
      <c r="G49" s="20"/>
      <c r="H49" s="21"/>
      <c r="I49" s="21"/>
      <c r="J49" s="20"/>
      <c r="K49" s="27" t="str">
        <f aca="true">IF(OR(I49="",J49="Closed",J49="Rejected"),"",I49-TODAY())</f>
        <v/>
      </c>
    </row>
    <row r="50" customFormat="false" ht="15" hidden="false" customHeight="false" outlineLevel="0" collapsed="false">
      <c r="A50" s="20"/>
      <c r="B50" s="20"/>
      <c r="C50" s="20"/>
      <c r="D50" s="20"/>
      <c r="E50" s="20"/>
      <c r="F50" s="20"/>
      <c r="G50" s="20"/>
      <c r="H50" s="21"/>
      <c r="I50" s="21"/>
      <c r="J50" s="20"/>
      <c r="K50" s="27" t="str">
        <f aca="true">IF(OR(I50="",J50="Closed",J50="Rejected"),"",I50-TODAY())</f>
        <v/>
      </c>
    </row>
    <row r="51" customFormat="false" ht="15" hidden="false" customHeight="false" outlineLevel="0" collapsed="false">
      <c r="A51" s="20"/>
      <c r="B51" s="20"/>
      <c r="C51" s="20"/>
      <c r="D51" s="20"/>
      <c r="E51" s="20"/>
      <c r="F51" s="20"/>
      <c r="G51" s="20"/>
      <c r="H51" s="21"/>
      <c r="I51" s="21"/>
      <c r="J51" s="20"/>
      <c r="K51" s="27" t="str">
        <f aca="true">IF(OR(I51="",J51="Closed",J51="Rejected"),"",I51-TODAY())</f>
        <v/>
      </c>
    </row>
    <row r="52" customFormat="false" ht="15" hidden="false" customHeight="false" outlineLevel="0" collapsed="false">
      <c r="A52" s="20"/>
      <c r="B52" s="20"/>
      <c r="C52" s="20"/>
      <c r="D52" s="20"/>
      <c r="E52" s="20"/>
      <c r="F52" s="20"/>
      <c r="G52" s="20"/>
      <c r="H52" s="21"/>
      <c r="I52" s="21"/>
      <c r="J52" s="20"/>
      <c r="K52" s="27" t="str">
        <f aca="true">IF(OR(I52="",J52="Closed",J52="Rejected"),"",I52-TODAY())</f>
        <v/>
      </c>
    </row>
    <row r="53" customFormat="false" ht="15" hidden="false" customHeight="false" outlineLevel="0" collapsed="false">
      <c r="A53" s="20"/>
      <c r="B53" s="20"/>
      <c r="C53" s="20"/>
      <c r="D53" s="20"/>
      <c r="E53" s="20"/>
      <c r="F53" s="20"/>
      <c r="G53" s="20"/>
      <c r="H53" s="21"/>
      <c r="I53" s="21"/>
      <c r="J53" s="20"/>
      <c r="K53" s="27" t="str">
        <f aca="true">IF(OR(I53="",J53="Closed",J53="Rejected"),"",I53-TODAY())</f>
        <v/>
      </c>
    </row>
    <row r="54" customFormat="false" ht="15" hidden="false" customHeight="false" outlineLevel="0" collapsed="false">
      <c r="A54" s="20"/>
      <c r="B54" s="20"/>
      <c r="C54" s="20"/>
      <c r="D54" s="20"/>
      <c r="E54" s="20"/>
      <c r="F54" s="20"/>
      <c r="G54" s="20"/>
      <c r="H54" s="21"/>
      <c r="I54" s="21"/>
      <c r="J54" s="20"/>
      <c r="K54" s="27" t="str">
        <f aca="true">IF(OR(I54="",J54="Closed",J54="Rejected"),"",I54-TODAY())</f>
        <v/>
      </c>
    </row>
    <row r="55" customFormat="false" ht="15" hidden="false" customHeight="false" outlineLevel="0" collapsed="false">
      <c r="A55" s="20"/>
      <c r="B55" s="20"/>
      <c r="C55" s="20"/>
      <c r="D55" s="20"/>
      <c r="E55" s="20"/>
      <c r="F55" s="20"/>
      <c r="G55" s="20"/>
      <c r="H55" s="21"/>
      <c r="I55" s="21"/>
      <c r="J55" s="20"/>
      <c r="K55" s="27" t="str">
        <f aca="true">IF(OR(I55="",J55="Closed",J55="Rejected"),"",I55-TODAY())</f>
        <v/>
      </c>
    </row>
    <row r="56" customFormat="false" ht="15" hidden="false" customHeight="false" outlineLevel="0" collapsed="false">
      <c r="A56" s="20"/>
      <c r="B56" s="20"/>
      <c r="C56" s="20"/>
      <c r="D56" s="20"/>
      <c r="E56" s="20"/>
      <c r="F56" s="20"/>
      <c r="G56" s="20"/>
      <c r="H56" s="21"/>
      <c r="I56" s="21"/>
      <c r="J56" s="20"/>
      <c r="K56" s="27" t="str">
        <f aca="true">IF(OR(I56="",J56="Closed",J56="Rejected"),"",I56-TODAY())</f>
        <v/>
      </c>
    </row>
    <row r="57" customFormat="false" ht="15" hidden="false" customHeight="false" outlineLevel="0" collapsed="false">
      <c r="A57" s="20"/>
      <c r="B57" s="20"/>
      <c r="C57" s="20"/>
      <c r="D57" s="20"/>
      <c r="E57" s="20"/>
      <c r="F57" s="20"/>
      <c r="G57" s="20"/>
      <c r="H57" s="21"/>
      <c r="I57" s="21"/>
      <c r="J57" s="20"/>
      <c r="K57" s="27" t="str">
        <f aca="true">IF(OR(I57="",J57="Closed",J57="Rejected"),"",I57-TODAY())</f>
        <v/>
      </c>
    </row>
    <row r="58" customFormat="false" ht="15" hidden="false" customHeight="false" outlineLevel="0" collapsed="false">
      <c r="A58" s="20"/>
      <c r="B58" s="20"/>
      <c r="C58" s="20"/>
      <c r="D58" s="20"/>
      <c r="E58" s="20"/>
      <c r="F58" s="20"/>
      <c r="G58" s="20"/>
      <c r="H58" s="21"/>
      <c r="I58" s="21"/>
      <c r="J58" s="20"/>
      <c r="K58" s="27" t="str">
        <f aca="true">IF(OR(I58="",J58="Closed",J58="Rejected"),"",I58-TODAY())</f>
        <v/>
      </c>
    </row>
    <row r="59" customFormat="false" ht="15" hidden="false" customHeight="false" outlineLevel="0" collapsed="false">
      <c r="A59" s="20"/>
      <c r="B59" s="20"/>
      <c r="C59" s="20"/>
      <c r="D59" s="20"/>
      <c r="E59" s="20"/>
      <c r="F59" s="20"/>
      <c r="G59" s="20"/>
      <c r="H59" s="21"/>
      <c r="I59" s="21"/>
      <c r="J59" s="20"/>
      <c r="K59" s="27" t="str">
        <f aca="true">IF(OR(I59="",J59="Closed",J59="Rejected"),"",I59-TODAY())</f>
        <v/>
      </c>
    </row>
    <row r="60" customFormat="false" ht="15" hidden="false" customHeight="false" outlineLevel="0" collapsed="false">
      <c r="A60" s="20"/>
      <c r="B60" s="20"/>
      <c r="C60" s="20"/>
      <c r="D60" s="20"/>
      <c r="E60" s="20"/>
      <c r="F60" s="20"/>
      <c r="G60" s="20"/>
      <c r="H60" s="21"/>
      <c r="I60" s="21"/>
      <c r="J60" s="20"/>
      <c r="K60" s="27" t="str">
        <f aca="true">IF(OR(I60="",J60="Closed",J60="Rejected"),"",I60-TODAY())</f>
        <v/>
      </c>
    </row>
    <row r="61" customFormat="false" ht="15" hidden="false" customHeight="false" outlineLevel="0" collapsed="false">
      <c r="A61" s="20"/>
      <c r="B61" s="20"/>
      <c r="C61" s="20"/>
      <c r="D61" s="20"/>
      <c r="E61" s="20"/>
      <c r="F61" s="20"/>
      <c r="G61" s="20"/>
      <c r="H61" s="21"/>
      <c r="I61" s="21"/>
      <c r="J61" s="20"/>
      <c r="K61" s="27" t="str">
        <f aca="true">IF(OR(I61="",J61="Closed",J61="Rejected"),"",I61-TODAY())</f>
        <v/>
      </c>
    </row>
    <row r="62" customFormat="false" ht="15" hidden="false" customHeight="false" outlineLevel="0" collapsed="false">
      <c r="A62" s="20"/>
      <c r="B62" s="20"/>
      <c r="C62" s="20"/>
      <c r="D62" s="20"/>
      <c r="E62" s="20"/>
      <c r="F62" s="20"/>
      <c r="G62" s="20"/>
      <c r="H62" s="21"/>
      <c r="I62" s="21"/>
      <c r="J62" s="20"/>
      <c r="K62" s="27" t="str">
        <f aca="true">IF(OR(I62="",J62="Closed",J62="Rejected"),"",I62-TODAY())</f>
        <v/>
      </c>
    </row>
    <row r="63" customFormat="false" ht="15" hidden="false" customHeight="false" outlineLevel="0" collapsed="false">
      <c r="A63" s="20"/>
      <c r="B63" s="20"/>
      <c r="C63" s="20"/>
      <c r="D63" s="20"/>
      <c r="E63" s="20"/>
      <c r="F63" s="20"/>
      <c r="G63" s="20"/>
      <c r="H63" s="21"/>
      <c r="I63" s="21"/>
      <c r="J63" s="20"/>
      <c r="K63" s="27" t="str">
        <f aca="true">IF(OR(I63="",J63="Closed",J63="Rejected"),"",I63-TODAY())</f>
        <v/>
      </c>
    </row>
    <row r="64" customFormat="false" ht="15" hidden="false" customHeight="false" outlineLevel="0" collapsed="false">
      <c r="A64" s="20"/>
      <c r="B64" s="20"/>
      <c r="C64" s="20"/>
      <c r="D64" s="20"/>
      <c r="E64" s="20"/>
      <c r="F64" s="20"/>
      <c r="G64" s="20"/>
      <c r="H64" s="21"/>
      <c r="I64" s="21"/>
      <c r="J64" s="20"/>
      <c r="K64" s="27" t="str">
        <f aca="true">IF(OR(I64="",J64="Closed",J64="Rejected"),"",I64-TODAY())</f>
        <v/>
      </c>
    </row>
    <row r="65" customFormat="false" ht="15" hidden="false" customHeight="false" outlineLevel="0" collapsed="false">
      <c r="A65" s="20"/>
      <c r="B65" s="20"/>
      <c r="C65" s="20"/>
      <c r="D65" s="20"/>
      <c r="E65" s="20"/>
      <c r="F65" s="20"/>
      <c r="G65" s="20"/>
      <c r="H65" s="21"/>
      <c r="I65" s="21"/>
      <c r="J65" s="20"/>
      <c r="K65" s="27" t="str">
        <f aca="true">IF(OR(I65="",J65="Closed",J65="Rejected"),"",I65-TODAY())</f>
        <v/>
      </c>
    </row>
    <row r="66" customFormat="false" ht="15" hidden="false" customHeight="false" outlineLevel="0" collapsed="false">
      <c r="A66" s="20"/>
      <c r="B66" s="20"/>
      <c r="C66" s="20"/>
      <c r="D66" s="20"/>
      <c r="E66" s="20"/>
      <c r="F66" s="20"/>
      <c r="G66" s="20"/>
      <c r="H66" s="21"/>
      <c r="I66" s="21"/>
      <c r="J66" s="20"/>
      <c r="K66" s="27" t="str">
        <f aca="true">IF(OR(I66="",J66="Closed",J66="Rejected"),"",I66-TODAY())</f>
        <v/>
      </c>
    </row>
    <row r="67" customFormat="false" ht="15" hidden="false" customHeight="false" outlineLevel="0" collapsed="false">
      <c r="A67" s="20"/>
      <c r="B67" s="20"/>
      <c r="C67" s="20"/>
      <c r="D67" s="20"/>
      <c r="E67" s="20"/>
      <c r="F67" s="20"/>
      <c r="G67" s="20"/>
      <c r="H67" s="21"/>
      <c r="I67" s="21"/>
      <c r="J67" s="20"/>
      <c r="K67" s="27" t="str">
        <f aca="true">IF(OR(I67="",J67="Closed",J67="Rejected"),"",I67-TODAY())</f>
        <v/>
      </c>
    </row>
    <row r="68" customFormat="false" ht="15" hidden="false" customHeight="false" outlineLevel="0" collapsed="false">
      <c r="A68" s="20"/>
      <c r="B68" s="20"/>
      <c r="C68" s="20"/>
      <c r="D68" s="20"/>
      <c r="E68" s="20"/>
      <c r="F68" s="20"/>
      <c r="G68" s="20"/>
      <c r="H68" s="21"/>
      <c r="I68" s="21"/>
      <c r="J68" s="20"/>
      <c r="K68" s="27" t="str">
        <f aca="true">IF(OR(I68="",J68="Closed",J68="Rejected"),"",I68-TODAY())</f>
        <v/>
      </c>
    </row>
    <row r="69" customFormat="false" ht="15" hidden="false" customHeight="false" outlineLevel="0" collapsed="false">
      <c r="A69" s="20"/>
      <c r="B69" s="20"/>
      <c r="C69" s="20"/>
      <c r="D69" s="20"/>
      <c r="E69" s="20"/>
      <c r="F69" s="20"/>
      <c r="G69" s="20"/>
      <c r="H69" s="21"/>
      <c r="I69" s="21"/>
      <c r="J69" s="20"/>
      <c r="K69" s="27" t="str">
        <f aca="true">IF(OR(I69="",J69="Closed",J69="Rejected"),"",I69-TODAY())</f>
        <v/>
      </c>
    </row>
    <row r="70" customFormat="false" ht="15" hidden="false" customHeight="false" outlineLevel="0" collapsed="false">
      <c r="A70" s="20"/>
      <c r="B70" s="20"/>
      <c r="C70" s="20"/>
      <c r="D70" s="20"/>
      <c r="E70" s="20"/>
      <c r="F70" s="20"/>
      <c r="G70" s="20"/>
      <c r="H70" s="21"/>
      <c r="I70" s="21"/>
      <c r="J70" s="20"/>
      <c r="K70" s="27" t="str">
        <f aca="true">IF(OR(I70="",J70="Closed",J70="Rejected"),"",I70-TODAY())</f>
        <v/>
      </c>
    </row>
    <row r="71" customFormat="false" ht="15" hidden="false" customHeight="false" outlineLevel="0" collapsed="false">
      <c r="A71" s="20"/>
      <c r="B71" s="20"/>
      <c r="C71" s="20"/>
      <c r="D71" s="20"/>
      <c r="E71" s="20"/>
      <c r="F71" s="20"/>
      <c r="G71" s="20"/>
      <c r="H71" s="21"/>
      <c r="I71" s="21"/>
      <c r="J71" s="20"/>
      <c r="K71" s="27" t="str">
        <f aca="true">IF(OR(I71="",J71="Closed",J71="Rejected"),"",I71-TODAY())</f>
        <v/>
      </c>
    </row>
    <row r="72" customFormat="false" ht="15" hidden="false" customHeight="false" outlineLevel="0" collapsed="false">
      <c r="A72" s="20"/>
      <c r="B72" s="20"/>
      <c r="C72" s="20"/>
      <c r="D72" s="20"/>
      <c r="E72" s="20"/>
      <c r="F72" s="20"/>
      <c r="G72" s="20"/>
      <c r="H72" s="21"/>
      <c r="I72" s="21"/>
      <c r="J72" s="20"/>
      <c r="K72" s="27" t="str">
        <f aca="true">IF(OR(I72="",J72="Closed",J72="Rejected"),"",I72-TODAY())</f>
        <v/>
      </c>
    </row>
    <row r="73" customFormat="false" ht="15" hidden="false" customHeight="false" outlineLevel="0" collapsed="false">
      <c r="A73" s="20"/>
      <c r="B73" s="20"/>
      <c r="C73" s="20"/>
      <c r="D73" s="20"/>
      <c r="E73" s="20"/>
      <c r="F73" s="20"/>
      <c r="G73" s="20"/>
      <c r="H73" s="21"/>
      <c r="I73" s="21"/>
      <c r="J73" s="20"/>
      <c r="K73" s="27" t="str">
        <f aca="true">IF(OR(I73="",J73="Closed",J73="Rejected"),"",I73-TODAY())</f>
        <v/>
      </c>
    </row>
    <row r="74" customFormat="false" ht="15" hidden="false" customHeight="false" outlineLevel="0" collapsed="false">
      <c r="A74" s="20"/>
      <c r="B74" s="20"/>
      <c r="C74" s="20"/>
      <c r="D74" s="20"/>
      <c r="E74" s="20"/>
      <c r="F74" s="20"/>
      <c r="G74" s="20"/>
      <c r="H74" s="21"/>
      <c r="I74" s="21"/>
      <c r="J74" s="20"/>
      <c r="K74" s="27" t="str">
        <f aca="true">IF(OR(I74="",J74="Closed",J74="Rejected"),"",I74-TODAY())</f>
        <v/>
      </c>
    </row>
    <row r="75" customFormat="false" ht="15" hidden="false" customHeight="false" outlineLevel="0" collapsed="false">
      <c r="A75" s="20"/>
      <c r="B75" s="20"/>
      <c r="C75" s="20"/>
      <c r="D75" s="20"/>
      <c r="E75" s="20"/>
      <c r="F75" s="20"/>
      <c r="G75" s="20"/>
      <c r="H75" s="21"/>
      <c r="I75" s="21"/>
      <c r="J75" s="20"/>
      <c r="K75" s="27" t="str">
        <f aca="true">IF(OR(I75="",J75="Closed",J75="Rejected"),"",I75-TODAY())</f>
        <v/>
      </c>
    </row>
    <row r="76" customFormat="false" ht="15" hidden="false" customHeight="false" outlineLevel="0" collapsed="false">
      <c r="A76" s="20"/>
      <c r="B76" s="20"/>
      <c r="C76" s="20"/>
      <c r="D76" s="20"/>
      <c r="E76" s="20"/>
      <c r="F76" s="20"/>
      <c r="G76" s="20"/>
      <c r="H76" s="21"/>
      <c r="I76" s="21"/>
      <c r="J76" s="20"/>
      <c r="K76" s="27" t="str">
        <f aca="true">IF(OR(I76="",J76="Closed",J76="Rejected"),"",I76-TODAY())</f>
        <v/>
      </c>
    </row>
    <row r="77" customFormat="false" ht="15" hidden="false" customHeight="false" outlineLevel="0" collapsed="false">
      <c r="A77" s="20"/>
      <c r="B77" s="20"/>
      <c r="C77" s="20"/>
      <c r="D77" s="20"/>
      <c r="E77" s="20"/>
      <c r="F77" s="20"/>
      <c r="G77" s="20"/>
      <c r="H77" s="21"/>
      <c r="I77" s="21"/>
      <c r="J77" s="20"/>
      <c r="K77" s="27" t="str">
        <f aca="true">IF(OR(I77="",J77="Closed",J77="Rejected"),"",I77-TODAY())</f>
        <v/>
      </c>
    </row>
    <row r="78" customFormat="false" ht="15" hidden="false" customHeight="false" outlineLevel="0" collapsed="false">
      <c r="A78" s="20"/>
      <c r="B78" s="20"/>
      <c r="C78" s="20"/>
      <c r="D78" s="20"/>
      <c r="E78" s="20"/>
      <c r="F78" s="20"/>
      <c r="G78" s="20"/>
      <c r="H78" s="21"/>
      <c r="I78" s="21"/>
      <c r="J78" s="20"/>
      <c r="K78" s="27" t="str">
        <f aca="true">IF(OR(I78="",J78="Closed",J78="Rejected"),"",I78-TODAY())</f>
        <v/>
      </c>
    </row>
    <row r="79" customFormat="false" ht="15" hidden="false" customHeight="false" outlineLevel="0" collapsed="false">
      <c r="A79" s="20"/>
      <c r="B79" s="20"/>
      <c r="C79" s="20"/>
      <c r="D79" s="20"/>
      <c r="E79" s="20"/>
      <c r="F79" s="20"/>
      <c r="G79" s="20"/>
      <c r="H79" s="21"/>
      <c r="I79" s="21"/>
      <c r="J79" s="20"/>
      <c r="K79" s="27" t="str">
        <f aca="true">IF(OR(I79="",J79="Closed",J79="Rejected"),"",I79-TODAY())</f>
        <v/>
      </c>
    </row>
    <row r="80" customFormat="false" ht="15" hidden="false" customHeight="false" outlineLevel="0" collapsed="false">
      <c r="A80" s="20"/>
      <c r="B80" s="20"/>
      <c r="C80" s="20"/>
      <c r="D80" s="20"/>
      <c r="E80" s="20"/>
      <c r="F80" s="20"/>
      <c r="G80" s="20"/>
      <c r="H80" s="21"/>
      <c r="I80" s="21"/>
      <c r="J80" s="20"/>
      <c r="K80" s="27" t="str">
        <f aca="true">IF(OR(I80="",J80="Closed",J80="Rejected"),"",I80-TODAY())</f>
        <v/>
      </c>
    </row>
    <row r="81" customFormat="false" ht="15" hidden="false" customHeight="false" outlineLevel="0" collapsed="false">
      <c r="A81" s="20"/>
      <c r="B81" s="20"/>
      <c r="C81" s="20"/>
      <c r="D81" s="20"/>
      <c r="E81" s="20"/>
      <c r="F81" s="20"/>
      <c r="G81" s="20"/>
      <c r="H81" s="21"/>
      <c r="I81" s="21"/>
      <c r="J81" s="20"/>
      <c r="K81" s="27" t="str">
        <f aca="true">IF(OR(I81="",J81="Closed",J81="Rejected"),"",I81-TODAY())</f>
        <v/>
      </c>
    </row>
    <row r="82" customFormat="false" ht="15" hidden="false" customHeight="false" outlineLevel="0" collapsed="false">
      <c r="A82" s="20"/>
      <c r="B82" s="20"/>
      <c r="C82" s="20"/>
      <c r="D82" s="20"/>
      <c r="E82" s="20"/>
      <c r="F82" s="20"/>
      <c r="G82" s="20"/>
      <c r="H82" s="21"/>
      <c r="I82" s="21"/>
      <c r="J82" s="20"/>
      <c r="K82" s="27" t="str">
        <f aca="true">IF(OR(I82="",J82="Closed",J82="Rejected"),"",I82-TODAY())</f>
        <v/>
      </c>
    </row>
    <row r="83" customFormat="false" ht="15" hidden="false" customHeight="false" outlineLevel="0" collapsed="false">
      <c r="A83" s="20"/>
      <c r="B83" s="20"/>
      <c r="C83" s="20"/>
      <c r="D83" s="20"/>
      <c r="E83" s="20"/>
      <c r="F83" s="20"/>
      <c r="G83" s="20"/>
      <c r="H83" s="21"/>
      <c r="I83" s="21"/>
      <c r="J83" s="20"/>
      <c r="K83" s="27" t="str">
        <f aca="true">IF(OR(I83="",J83="Closed",J83="Rejected"),"",I83-TODAY())</f>
        <v/>
      </c>
    </row>
    <row r="84" customFormat="false" ht="15" hidden="false" customHeight="false" outlineLevel="0" collapsed="false">
      <c r="A84" s="20"/>
      <c r="B84" s="20"/>
      <c r="C84" s="20"/>
      <c r="D84" s="20"/>
      <c r="E84" s="20"/>
      <c r="F84" s="20"/>
      <c r="G84" s="20"/>
      <c r="H84" s="21"/>
      <c r="I84" s="21"/>
      <c r="J84" s="20"/>
      <c r="K84" s="27" t="str">
        <f aca="true">IF(OR(I84="",J84="Closed",J84="Rejected"),"",I84-TODAY())</f>
        <v/>
      </c>
    </row>
    <row r="85" customFormat="false" ht="15" hidden="false" customHeight="false" outlineLevel="0" collapsed="false">
      <c r="A85" s="20"/>
      <c r="B85" s="20"/>
      <c r="C85" s="20"/>
      <c r="D85" s="20"/>
      <c r="E85" s="20"/>
      <c r="F85" s="20"/>
      <c r="G85" s="20"/>
      <c r="H85" s="21"/>
      <c r="I85" s="21"/>
      <c r="J85" s="20"/>
      <c r="K85" s="27" t="str">
        <f aca="true">IF(OR(I85="",J85="Closed",J85="Rejected"),"",I85-TODAY())</f>
        <v/>
      </c>
    </row>
    <row r="86" customFormat="false" ht="15" hidden="false" customHeight="false" outlineLevel="0" collapsed="false">
      <c r="A86" s="20"/>
      <c r="B86" s="20"/>
      <c r="C86" s="20"/>
      <c r="D86" s="20"/>
      <c r="E86" s="20"/>
      <c r="F86" s="20"/>
      <c r="G86" s="20"/>
      <c r="H86" s="21"/>
      <c r="I86" s="21"/>
      <c r="J86" s="20"/>
      <c r="K86" s="27" t="str">
        <f aca="true">IF(OR(I86="",J86="Closed",J86="Rejected"),"",I86-TODAY())</f>
        <v/>
      </c>
    </row>
    <row r="87" customFormat="false" ht="15" hidden="false" customHeight="false" outlineLevel="0" collapsed="false">
      <c r="A87" s="20"/>
      <c r="B87" s="20"/>
      <c r="C87" s="20"/>
      <c r="D87" s="20"/>
      <c r="E87" s="20"/>
      <c r="F87" s="20"/>
      <c r="G87" s="20"/>
      <c r="H87" s="21"/>
      <c r="I87" s="21"/>
      <c r="J87" s="20"/>
      <c r="K87" s="27" t="str">
        <f aca="true">IF(OR(I87="",J87="Closed",J87="Rejected"),"",I87-TODAY())</f>
        <v/>
      </c>
    </row>
    <row r="88" customFormat="false" ht="15" hidden="false" customHeight="false" outlineLevel="0" collapsed="false">
      <c r="A88" s="20"/>
      <c r="B88" s="20"/>
      <c r="C88" s="20"/>
      <c r="D88" s="20"/>
      <c r="E88" s="20"/>
      <c r="F88" s="20"/>
      <c r="G88" s="20"/>
      <c r="H88" s="21"/>
      <c r="I88" s="21"/>
      <c r="J88" s="20"/>
      <c r="K88" s="27" t="str">
        <f aca="true">IF(OR(I88="",J88="Closed",J88="Rejected"),"",I88-TODAY())</f>
        <v/>
      </c>
    </row>
    <row r="89" customFormat="false" ht="15" hidden="false" customHeight="false" outlineLevel="0" collapsed="false">
      <c r="A89" s="20"/>
      <c r="B89" s="20"/>
      <c r="C89" s="20"/>
      <c r="D89" s="20"/>
      <c r="E89" s="20"/>
      <c r="F89" s="20"/>
      <c r="G89" s="20"/>
      <c r="H89" s="21"/>
      <c r="I89" s="21"/>
      <c r="J89" s="20"/>
      <c r="K89" s="27" t="str">
        <f aca="true">IF(OR(I89="",J89="Closed",J89="Rejected"),"",I89-TODAY())</f>
        <v/>
      </c>
    </row>
    <row r="90" customFormat="false" ht="15" hidden="false" customHeight="false" outlineLevel="0" collapsed="false">
      <c r="A90" s="20"/>
      <c r="B90" s="20"/>
      <c r="C90" s="20"/>
      <c r="D90" s="20"/>
      <c r="E90" s="20"/>
      <c r="F90" s="20"/>
      <c r="G90" s="20"/>
      <c r="H90" s="21"/>
      <c r="I90" s="21"/>
      <c r="J90" s="20"/>
      <c r="K90" s="27" t="str">
        <f aca="true">IF(OR(I90="",J90="Closed",J90="Rejected"),"",I90-TODAY())</f>
        <v/>
      </c>
    </row>
    <row r="91" customFormat="false" ht="15" hidden="false" customHeight="false" outlineLevel="0" collapsed="false">
      <c r="A91" s="20"/>
      <c r="B91" s="20"/>
      <c r="C91" s="20"/>
      <c r="D91" s="20"/>
      <c r="E91" s="20"/>
      <c r="F91" s="20"/>
      <c r="G91" s="20"/>
      <c r="H91" s="21"/>
      <c r="I91" s="21"/>
      <c r="J91" s="20"/>
      <c r="K91" s="27" t="str">
        <f aca="true">IF(OR(I91="",J91="Closed",J91="Rejected"),"",I91-TODAY())</f>
        <v/>
      </c>
    </row>
    <row r="92" customFormat="false" ht="15" hidden="false" customHeight="false" outlineLevel="0" collapsed="false">
      <c r="A92" s="20"/>
      <c r="B92" s="20"/>
      <c r="C92" s="20"/>
      <c r="D92" s="20"/>
      <c r="E92" s="20"/>
      <c r="F92" s="20"/>
      <c r="G92" s="20"/>
      <c r="H92" s="21"/>
      <c r="I92" s="21"/>
      <c r="J92" s="20"/>
      <c r="K92" s="27" t="str">
        <f aca="true">IF(OR(I92="",J92="Closed",J92="Rejected"),"",I92-TODAY())</f>
        <v/>
      </c>
    </row>
    <row r="93" customFormat="false" ht="15" hidden="false" customHeight="false" outlineLevel="0" collapsed="false">
      <c r="A93" s="20"/>
      <c r="B93" s="20"/>
      <c r="C93" s="20"/>
      <c r="D93" s="20"/>
      <c r="E93" s="20"/>
      <c r="F93" s="20"/>
      <c r="G93" s="20"/>
      <c r="H93" s="21"/>
      <c r="I93" s="21"/>
      <c r="J93" s="20"/>
      <c r="K93" s="27" t="str">
        <f aca="true">IF(OR(I93="",J93="Closed",J93="Rejected"),"",I93-TODAY())</f>
        <v/>
      </c>
    </row>
    <row r="94" customFormat="false" ht="15" hidden="false" customHeight="false" outlineLevel="0" collapsed="false">
      <c r="A94" s="20"/>
      <c r="B94" s="20"/>
      <c r="C94" s="20"/>
      <c r="D94" s="20"/>
      <c r="E94" s="20"/>
      <c r="F94" s="20"/>
      <c r="G94" s="20"/>
      <c r="H94" s="21"/>
      <c r="I94" s="21"/>
      <c r="J94" s="20"/>
      <c r="K94" s="27" t="str">
        <f aca="true">IF(OR(I94="",J94="Closed",J94="Rejected"),"",I94-TODAY())</f>
        <v/>
      </c>
    </row>
    <row r="95" customFormat="false" ht="15" hidden="false" customHeight="false" outlineLevel="0" collapsed="false">
      <c r="A95" s="20"/>
      <c r="B95" s="20"/>
      <c r="C95" s="20"/>
      <c r="D95" s="20"/>
      <c r="E95" s="20"/>
      <c r="F95" s="20"/>
      <c r="G95" s="20"/>
      <c r="H95" s="21"/>
      <c r="I95" s="21"/>
      <c r="J95" s="20"/>
      <c r="K95" s="27" t="str">
        <f aca="true">IF(OR(I95="",J95="Closed",J95="Rejected"),"",I95-TODAY())</f>
        <v/>
      </c>
    </row>
    <row r="96" customFormat="false" ht="15" hidden="false" customHeight="false" outlineLevel="0" collapsed="false">
      <c r="A96" s="20"/>
      <c r="B96" s="20"/>
      <c r="C96" s="20"/>
      <c r="D96" s="20"/>
      <c r="E96" s="20"/>
      <c r="F96" s="20"/>
      <c r="G96" s="20"/>
      <c r="H96" s="21"/>
      <c r="I96" s="21"/>
      <c r="J96" s="20"/>
      <c r="K96" s="27" t="str">
        <f aca="true">IF(OR(I96="",J96="Closed",J96="Rejected"),"",I96-TODAY())</f>
        <v/>
      </c>
    </row>
    <row r="97" customFormat="false" ht="15" hidden="false" customHeight="false" outlineLevel="0" collapsed="false">
      <c r="A97" s="20"/>
      <c r="B97" s="20"/>
      <c r="C97" s="20"/>
      <c r="D97" s="20"/>
      <c r="E97" s="20"/>
      <c r="F97" s="20"/>
      <c r="G97" s="20"/>
      <c r="H97" s="21"/>
      <c r="I97" s="21"/>
      <c r="J97" s="20"/>
      <c r="K97" s="27" t="str">
        <f aca="true">IF(OR(I97="",J97="Closed",J97="Rejected"),"",I97-TODAY())</f>
        <v/>
      </c>
    </row>
    <row r="98" customFormat="false" ht="15" hidden="false" customHeight="false" outlineLevel="0" collapsed="false">
      <c r="A98" s="20"/>
      <c r="B98" s="20"/>
      <c r="C98" s="20"/>
      <c r="D98" s="20"/>
      <c r="E98" s="20"/>
      <c r="F98" s="20"/>
      <c r="G98" s="20"/>
      <c r="H98" s="21"/>
      <c r="I98" s="21"/>
      <c r="J98" s="20"/>
      <c r="K98" s="27" t="str">
        <f aca="true">IF(OR(I98="",J98="Closed",J98="Rejected"),"",I98-TODAY())</f>
        <v/>
      </c>
    </row>
    <row r="99" customFormat="false" ht="15" hidden="false" customHeight="false" outlineLevel="0" collapsed="false">
      <c r="A99" s="20"/>
      <c r="B99" s="20"/>
      <c r="C99" s="20"/>
      <c r="D99" s="20"/>
      <c r="E99" s="20"/>
      <c r="F99" s="20"/>
      <c r="G99" s="20"/>
      <c r="H99" s="21"/>
      <c r="I99" s="21"/>
      <c r="J99" s="20"/>
      <c r="K99" s="27" t="str">
        <f aca="true">IF(OR(I99="",J99="Closed",J99="Rejected"),"",I99-TODAY())</f>
        <v/>
      </c>
    </row>
    <row r="100" customFormat="false" ht="1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1"/>
      <c r="I100" s="21"/>
      <c r="J100" s="20"/>
      <c r="K100" s="27" t="str">
        <f aca="true">IF(OR(I100="",J100="Closed",J100="Rejected"),"",I100-TODAY())</f>
        <v/>
      </c>
    </row>
    <row r="101" customFormat="false" ht="1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1"/>
      <c r="I101" s="21"/>
      <c r="J101" s="20"/>
      <c r="K101" s="27" t="str">
        <f aca="true">IF(OR(I101="",J101="Closed",J101="Rejected"),"",I101-TODAY())</f>
        <v/>
      </c>
    </row>
    <row r="102" customFormat="false" ht="1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1"/>
      <c r="I102" s="21"/>
      <c r="J102" s="20"/>
      <c r="K102" s="27" t="str">
        <f aca="true">IF(OR(I102="",J102="Closed",J102="Rejected"),"",I102-TODAY())</f>
        <v/>
      </c>
    </row>
    <row r="103" customFormat="false" ht="1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1"/>
      <c r="I103" s="21"/>
      <c r="J103" s="20"/>
      <c r="K103" s="27" t="str">
        <f aca="true">IF(OR(I103="",J103="Closed",J103="Rejected"),"",I103-TODAY())</f>
        <v/>
      </c>
    </row>
    <row r="104" customFormat="false" ht="1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1"/>
      <c r="I104" s="21"/>
      <c r="J104" s="20"/>
      <c r="K104" s="27" t="str">
        <f aca="true">IF(OR(I104="",J104="Closed",J104="Rejected"),"",I104-TODAY())</f>
        <v/>
      </c>
    </row>
    <row r="105" customFormat="false" ht="1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1"/>
      <c r="I105" s="21"/>
      <c r="J105" s="20"/>
      <c r="K105" s="27" t="str">
        <f aca="true">IF(OR(I105="",J105="Closed",J105="Rejected"),"",I105-TODAY())</f>
        <v/>
      </c>
    </row>
    <row r="106" customFormat="false" ht="1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1"/>
      <c r="I106" s="21"/>
      <c r="J106" s="20"/>
      <c r="K106" s="27" t="str">
        <f aca="true">IF(OR(I106="",J106="Closed",J106="Rejected"),"",I106-TODAY())</f>
        <v/>
      </c>
    </row>
    <row r="107" customFormat="false" ht="1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1"/>
      <c r="I107" s="21"/>
      <c r="J107" s="20"/>
      <c r="K107" s="27" t="str">
        <f aca="true">IF(OR(I107="",J107="Closed",J107="Rejected"),"",I107-TODAY())</f>
        <v/>
      </c>
    </row>
    <row r="108" customFormat="false" ht="1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1"/>
      <c r="I108" s="21"/>
      <c r="J108" s="20"/>
      <c r="K108" s="27" t="str">
        <f aca="true">IF(OR(I108="",J108="Closed",J108="Rejected"),"",I108-TODAY())</f>
        <v/>
      </c>
    </row>
    <row r="109" customFormat="false" ht="1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1"/>
      <c r="I109" s="21"/>
      <c r="J109" s="20"/>
      <c r="K109" s="27" t="str">
        <f aca="true">IF(OR(I109="",J109="Closed",J109="Rejected"),"",I109-TODAY())</f>
        <v/>
      </c>
    </row>
    <row r="110" customFormat="false" ht="1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1"/>
      <c r="I110" s="21"/>
      <c r="J110" s="20"/>
      <c r="K110" s="27" t="str">
        <f aca="true">IF(OR(I110="",J110="Closed",J110="Rejected"),"",I110-TODAY())</f>
        <v/>
      </c>
    </row>
    <row r="111" customFormat="false" ht="1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1"/>
      <c r="I111" s="21"/>
      <c r="J111" s="20"/>
      <c r="K111" s="27" t="str">
        <f aca="true">IF(OR(I111="",J111="Closed",J111="Rejected"),"",I111-TODAY())</f>
        <v/>
      </c>
    </row>
    <row r="112" customFormat="false" ht="1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1"/>
      <c r="I112" s="21"/>
      <c r="J112" s="20"/>
      <c r="K112" s="27" t="str">
        <f aca="true">IF(OR(I112="",J112="Closed",J112="Rejected"),"",I112-TODAY())</f>
        <v/>
      </c>
    </row>
    <row r="113" customFormat="false" ht="1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1"/>
      <c r="I113" s="21"/>
      <c r="J113" s="20"/>
      <c r="K113" s="27" t="str">
        <f aca="true">IF(OR(I113="",J113="Closed",J113="Rejected"),"",I113-TODAY())</f>
        <v/>
      </c>
    </row>
    <row r="114" customFormat="false" ht="1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1"/>
      <c r="I114" s="21"/>
      <c r="J114" s="20"/>
      <c r="K114" s="27" t="str">
        <f aca="true">IF(OR(I114="",J114="Closed",J114="Rejected"),"",I114-TODAY())</f>
        <v/>
      </c>
    </row>
    <row r="115" customFormat="false" ht="1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1"/>
      <c r="I115" s="21"/>
      <c r="J115" s="20"/>
      <c r="K115" s="27" t="str">
        <f aca="true">IF(OR(I115="",J115="Closed",J115="Rejected"),"",I115-TODAY())</f>
        <v/>
      </c>
    </row>
    <row r="116" customFormat="false" ht="1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1"/>
      <c r="I116" s="21"/>
      <c r="J116" s="20"/>
      <c r="K116" s="27" t="str">
        <f aca="true">IF(OR(I116="",J116="Closed",J116="Rejected"),"",I116-TODAY())</f>
        <v/>
      </c>
    </row>
    <row r="117" customFormat="false" ht="1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1"/>
      <c r="I117" s="21"/>
      <c r="J117" s="20"/>
      <c r="K117" s="27" t="str">
        <f aca="true">IF(OR(I117="",J117="Closed",J117="Rejected"),"",I117-TODAY())</f>
        <v/>
      </c>
    </row>
    <row r="118" customFormat="false" ht="1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1"/>
      <c r="I118" s="21"/>
      <c r="J118" s="20"/>
      <c r="K118" s="27" t="str">
        <f aca="true">IF(OR(I118="",J118="Closed",J118="Rejected"),"",I118-TODAY())</f>
        <v/>
      </c>
    </row>
    <row r="119" customFormat="false" ht="1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1"/>
      <c r="I119" s="21"/>
      <c r="J119" s="20"/>
      <c r="K119" s="27" t="str">
        <f aca="true">IF(OR(I119="",J119="Closed",J119="Rejected"),"",I119-TODAY())</f>
        <v/>
      </c>
    </row>
    <row r="120" customFormat="false" ht="1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1"/>
      <c r="I120" s="21"/>
      <c r="J120" s="20"/>
      <c r="K120" s="27" t="str">
        <f aca="true">IF(OR(I120="",J120="Closed",J120="Rejected"),"",I120-TODAY())</f>
        <v/>
      </c>
    </row>
    <row r="121" customFormat="false" ht="1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1"/>
      <c r="I121" s="21"/>
      <c r="J121" s="20"/>
      <c r="K121" s="27" t="str">
        <f aca="true">IF(OR(I121="",J121="Closed",J121="Rejected"),"",I121-TODAY())</f>
        <v/>
      </c>
    </row>
    <row r="122" customFormat="false" ht="1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1"/>
      <c r="I122" s="21"/>
      <c r="J122" s="20"/>
      <c r="K122" s="27" t="str">
        <f aca="true">IF(OR(I122="",J122="Closed",J122="Rejected"),"",I122-TODAY())</f>
        <v/>
      </c>
    </row>
    <row r="123" customFormat="false" ht="1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1"/>
      <c r="I123" s="21"/>
      <c r="J123" s="20"/>
      <c r="K123" s="27" t="str">
        <f aca="true">IF(OR(I123="",J123="Closed",J123="Rejected"),"",I123-TODAY())</f>
        <v/>
      </c>
    </row>
    <row r="124" customFormat="false" ht="1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1"/>
      <c r="I124" s="21"/>
      <c r="J124" s="20"/>
      <c r="K124" s="27" t="str">
        <f aca="true">IF(OR(I124="",J124="Closed",J124="Rejected"),"",I124-TODAY())</f>
        <v/>
      </c>
    </row>
    <row r="125" customFormat="false" ht="1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1"/>
      <c r="I125" s="21"/>
      <c r="J125" s="20"/>
      <c r="K125" s="27" t="str">
        <f aca="true">IF(OR(I125="",J125="Closed",J125="Rejected"),"",I125-TODAY())</f>
        <v/>
      </c>
    </row>
    <row r="126" customFormat="false" ht="1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1"/>
      <c r="I126" s="21"/>
      <c r="J126" s="20"/>
      <c r="K126" s="27" t="str">
        <f aca="true">IF(OR(I126="",J126="Closed",J126="Rejected"),"",I126-TODAY())</f>
        <v/>
      </c>
    </row>
    <row r="127" customFormat="false" ht="1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1"/>
      <c r="I127" s="21"/>
      <c r="J127" s="20"/>
      <c r="K127" s="27" t="str">
        <f aca="true">IF(OR(I127="",J127="Closed",J127="Rejected"),"",I127-TODAY())</f>
        <v/>
      </c>
    </row>
    <row r="128" customFormat="false" ht="1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1"/>
      <c r="I128" s="21"/>
      <c r="J128" s="20"/>
      <c r="K128" s="27" t="str">
        <f aca="true">IF(OR(I128="",J128="Closed",J128="Rejected"),"",I128-TODAY())</f>
        <v/>
      </c>
    </row>
    <row r="129" customFormat="false" ht="1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1"/>
      <c r="I129" s="21"/>
      <c r="J129" s="20"/>
      <c r="K129" s="27" t="str">
        <f aca="true">IF(OR(I129="",J129="Closed",J129="Rejected"),"",I129-TODAY())</f>
        <v/>
      </c>
    </row>
    <row r="130" customFormat="false" ht="1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1"/>
      <c r="I130" s="21"/>
      <c r="J130" s="20"/>
      <c r="K130" s="27" t="str">
        <f aca="true">IF(OR(I130="",J130="Closed",J130="Rejected"),"",I130-TODAY())</f>
        <v/>
      </c>
    </row>
    <row r="131" customFormat="false" ht="1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1"/>
      <c r="I131" s="21"/>
      <c r="J131" s="20"/>
      <c r="K131" s="27" t="str">
        <f aca="true">IF(OR(I131="",J131="Closed",J131="Rejected"),"",I131-TODAY())</f>
        <v/>
      </c>
    </row>
    <row r="132" customFormat="false" ht="1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1"/>
      <c r="I132" s="21"/>
      <c r="J132" s="20"/>
      <c r="K132" s="27" t="str">
        <f aca="true">IF(OR(I132="",J132="Closed",J132="Rejected"),"",I132-TODAY())</f>
        <v/>
      </c>
    </row>
    <row r="133" customFormat="false" ht="1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1"/>
      <c r="I133" s="21"/>
      <c r="J133" s="20"/>
      <c r="K133" s="27" t="str">
        <f aca="true">IF(OR(I133="",J133="Closed",J133="Rejected"),"",I133-TODAY())</f>
        <v/>
      </c>
    </row>
    <row r="134" customFormat="false" ht="1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1"/>
      <c r="I134" s="21"/>
      <c r="J134" s="20"/>
      <c r="K134" s="27" t="str">
        <f aca="true">IF(OR(I134="",J134="Closed",J134="Rejected"),"",I134-TODAY())</f>
        <v/>
      </c>
    </row>
    <row r="135" customFormat="false" ht="1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1"/>
      <c r="I135" s="21"/>
      <c r="J135" s="20"/>
      <c r="K135" s="27" t="str">
        <f aca="true">IF(OR(I135="",J135="Closed",J135="Rejected"),"",I135-TODAY())</f>
        <v/>
      </c>
    </row>
    <row r="136" customFormat="false" ht="1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1"/>
      <c r="I136" s="21"/>
      <c r="J136" s="20"/>
      <c r="K136" s="27" t="str">
        <f aca="true">IF(OR(I136="",J136="Closed",J136="Rejected"),"",I136-TODAY())</f>
        <v/>
      </c>
    </row>
    <row r="137" customFormat="false" ht="1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1"/>
      <c r="I137" s="21"/>
      <c r="J137" s="20"/>
      <c r="K137" s="27" t="str">
        <f aca="true">IF(OR(I137="",J137="Closed",J137="Rejected"),"",I137-TODAY())</f>
        <v/>
      </c>
    </row>
    <row r="138" customFormat="false" ht="1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1"/>
      <c r="I138" s="21"/>
      <c r="J138" s="20"/>
      <c r="K138" s="27" t="str">
        <f aca="true">IF(OR(I138="",J138="Closed",J138="Rejected"),"",I138-TODAY())</f>
        <v/>
      </c>
    </row>
    <row r="139" customFormat="false" ht="1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1"/>
      <c r="I139" s="21"/>
      <c r="J139" s="20"/>
      <c r="K139" s="27" t="str">
        <f aca="true">IF(OR(I139="",J139="Closed",J139="Rejected"),"",I139-TODAY())</f>
        <v/>
      </c>
    </row>
    <row r="140" customFormat="false" ht="1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1"/>
      <c r="I140" s="21"/>
      <c r="J140" s="20"/>
      <c r="K140" s="27" t="str">
        <f aca="true">IF(OR(I140="",J140="Closed",J140="Rejected"),"",I140-TODAY())</f>
        <v/>
      </c>
    </row>
    <row r="141" customFormat="false" ht="1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1"/>
      <c r="I141" s="21"/>
      <c r="J141" s="20"/>
      <c r="K141" s="27" t="str">
        <f aca="true">IF(OR(I141="",J141="Closed",J141="Rejected"),"",I141-TODAY())</f>
        <v/>
      </c>
    </row>
    <row r="142" customFormat="false" ht="1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1"/>
      <c r="I142" s="21"/>
      <c r="J142" s="20"/>
      <c r="K142" s="27" t="str">
        <f aca="true">IF(OR(I142="",J142="Closed",J142="Rejected"),"",I142-TODAY())</f>
        <v/>
      </c>
    </row>
    <row r="143" customFormat="false" ht="1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1"/>
      <c r="I143" s="21"/>
      <c r="J143" s="20"/>
      <c r="K143" s="27" t="str">
        <f aca="true">IF(OR(I143="",J143="Closed",J143="Rejected"),"",I143-TODAY())</f>
        <v/>
      </c>
    </row>
    <row r="144" customFormat="false" ht="1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1"/>
      <c r="I144" s="21"/>
      <c r="J144" s="20"/>
      <c r="K144" s="27" t="str">
        <f aca="true">IF(OR(I144="",J144="Closed",J144="Rejected"),"",I144-TODAY())</f>
        <v/>
      </c>
    </row>
    <row r="145" customFormat="false" ht="1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1"/>
      <c r="I145" s="21"/>
      <c r="J145" s="20"/>
      <c r="K145" s="27" t="str">
        <f aca="true">IF(OR(I145="",J145="Closed",J145="Rejected"),"",I145-TODAY())</f>
        <v/>
      </c>
    </row>
    <row r="146" customFormat="false" ht="1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1"/>
      <c r="I146" s="21"/>
      <c r="J146" s="20"/>
      <c r="K146" s="27" t="str">
        <f aca="true">IF(OR(I146="",J146="Closed",J146="Rejected"),"",I146-TODAY())</f>
        <v/>
      </c>
    </row>
    <row r="147" customFormat="false" ht="1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1"/>
      <c r="I147" s="21"/>
      <c r="J147" s="20"/>
      <c r="K147" s="27" t="str">
        <f aca="true">IF(OR(I147="",J147="Closed",J147="Rejected"),"",I147-TODAY())</f>
        <v/>
      </c>
    </row>
    <row r="148" customFormat="false" ht="1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1"/>
      <c r="I148" s="21"/>
      <c r="J148" s="20"/>
      <c r="K148" s="27" t="str">
        <f aca="true">IF(OR(I148="",J148="Closed",J148="Rejected"),"",I148-TODAY())</f>
        <v/>
      </c>
    </row>
    <row r="149" customFormat="false" ht="1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1"/>
      <c r="I149" s="21"/>
      <c r="J149" s="20"/>
      <c r="K149" s="27" t="str">
        <f aca="true">IF(OR(I149="",J149="Closed",J149="Rejected"),"",I149-TODAY())</f>
        <v/>
      </c>
    </row>
    <row r="150" customFormat="false" ht="1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1"/>
      <c r="I150" s="21"/>
      <c r="J150" s="20"/>
      <c r="K150" s="27" t="str">
        <f aca="true">IF(OR(I150="",J150="Closed",J150="Rejected"),"",I150-TODAY())</f>
        <v/>
      </c>
    </row>
  </sheetData>
  <autoFilter ref="A1:K150"/>
  <conditionalFormatting sqref="K2:K150">
    <cfRule type="expression" priority="2" aboveAverage="0" equalAverage="0" bottom="0" percent="0" rank="0" text="" dxfId="9">
      <formula>AND(ISNUMBER($K2),$K2&lt;=14)</formula>
    </cfRule>
  </conditionalFormatting>
  <dataValidations count="2">
    <dataValidation allowBlank="true" error="Choose a value from the list (see the Lists sheet)." errorStyle="stop" errorTitle="Not in list" operator="between" showDropDown="false" showErrorMessage="false" showInputMessage="false" sqref="E2:E150" type="list">
      <formula1>Lists!$A$2:$A$4</formula1>
      <formula2>0</formula2>
    </dataValidation>
    <dataValidation allowBlank="true" error="Choose a value from the list (see the Lists sheet)." errorStyle="stop" errorTitle="Not in list" operator="between" showDropDown="false" showErrorMessage="false" showInputMessage="false" sqref="J2:J150" type="list">
      <formula1>Lists!$O$2:$O$6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true"/>
  </sheetPr>
  <dimension ref="A1:M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7" min="4" style="0" width="11"/>
    <col collapsed="false" customWidth="true" hidden="false" outlineLevel="0" max="8" min="8" style="0" width="20"/>
    <col collapsed="false" customWidth="true" hidden="false" outlineLevel="0" max="9" min="9" style="0" width="7"/>
    <col collapsed="false" customWidth="true" hidden="false" outlineLevel="0" max="10" min="10" style="0" width="26"/>
    <col collapsed="false" customWidth="true" hidden="false" outlineLevel="0" max="11" min="11" style="0" width="14"/>
    <col collapsed="false" customWidth="true" hidden="false" outlineLevel="0" max="13" min="12" style="0" width="11"/>
  </cols>
  <sheetData>
    <row r="1" customFormat="false" ht="42" hidden="false" customHeight="true" outlineLevel="0" collapsed="false">
      <c r="A1" s="16" t="s">
        <v>368</v>
      </c>
      <c r="B1" s="16" t="s">
        <v>369</v>
      </c>
      <c r="C1" s="16" t="s">
        <v>370</v>
      </c>
      <c r="D1" s="16" t="s">
        <v>371</v>
      </c>
      <c r="E1" s="16" t="s">
        <v>372</v>
      </c>
      <c r="F1" s="16" t="s">
        <v>373</v>
      </c>
      <c r="G1" s="24" t="s">
        <v>374</v>
      </c>
      <c r="H1" s="16" t="s">
        <v>375</v>
      </c>
      <c r="I1" s="16" t="s">
        <v>376</v>
      </c>
      <c r="J1" s="16" t="s">
        <v>377</v>
      </c>
      <c r="K1" s="16" t="s">
        <v>378</v>
      </c>
      <c r="L1" s="16" t="s">
        <v>379</v>
      </c>
      <c r="M1" s="16" t="s">
        <v>84</v>
      </c>
    </row>
    <row r="2" customFormat="false" ht="30" hidden="false" customHeight="true" outlineLevel="0" collapsed="false">
      <c r="A2" s="20" t="s">
        <v>380</v>
      </c>
      <c r="B2" s="20" t="s">
        <v>381</v>
      </c>
      <c r="C2" s="20" t="s">
        <v>382</v>
      </c>
      <c r="D2" s="21"/>
      <c r="E2" s="21"/>
      <c r="F2" s="21"/>
      <c r="G2" s="27" t="str">
        <f aca="false">IF(E2="","",MAX(0,E2-Lists!$U$18))</f>
        <v/>
      </c>
      <c r="H2" s="20"/>
      <c r="I2" s="20"/>
      <c r="J2" s="20"/>
      <c r="K2" s="20"/>
      <c r="L2" s="21"/>
      <c r="M2" s="20" t="s">
        <v>97</v>
      </c>
    </row>
    <row r="3" customFormat="false" ht="30" hidden="false" customHeight="true" outlineLevel="0" collapsed="false">
      <c r="A3" s="20" t="s">
        <v>383</v>
      </c>
      <c r="B3" s="20" t="s">
        <v>384</v>
      </c>
      <c r="C3" s="20" t="s">
        <v>385</v>
      </c>
      <c r="D3" s="21"/>
      <c r="E3" s="21"/>
      <c r="F3" s="21"/>
      <c r="G3" s="27" t="str">
        <f aca="false">IF(E3="","",MAX(0,E3-Lists!$U$18))</f>
        <v/>
      </c>
      <c r="H3" s="20"/>
      <c r="I3" s="20"/>
      <c r="J3" s="20"/>
      <c r="K3" s="20"/>
      <c r="L3" s="21"/>
      <c r="M3" s="20" t="s">
        <v>97</v>
      </c>
    </row>
    <row r="4" customFormat="false" ht="30" hidden="false" customHeight="true" outlineLevel="0" collapsed="false">
      <c r="A4" s="20" t="s">
        <v>386</v>
      </c>
      <c r="B4" s="20" t="s">
        <v>387</v>
      </c>
      <c r="C4" s="20" t="s">
        <v>388</v>
      </c>
      <c r="D4" s="21"/>
      <c r="E4" s="21"/>
      <c r="F4" s="21"/>
      <c r="G4" s="27" t="str">
        <f aca="false">IF(E4="","",MAX(0,E4-Lists!$U$18))</f>
        <v/>
      </c>
      <c r="H4" s="20"/>
      <c r="I4" s="20"/>
      <c r="J4" s="20"/>
      <c r="K4" s="20"/>
      <c r="L4" s="21"/>
      <c r="M4" s="20" t="s">
        <v>97</v>
      </c>
    </row>
    <row r="5" customFormat="false" ht="30" hidden="false" customHeight="true" outlineLevel="0" collapsed="false">
      <c r="A5" s="20" t="s">
        <v>389</v>
      </c>
      <c r="B5" s="20" t="s">
        <v>390</v>
      </c>
      <c r="C5" s="20" t="s">
        <v>391</v>
      </c>
      <c r="D5" s="21"/>
      <c r="E5" s="21"/>
      <c r="F5" s="21"/>
      <c r="G5" s="27" t="str">
        <f aca="false">IF(E5="","",MAX(0,E5-Lists!$U$18))</f>
        <v/>
      </c>
      <c r="H5" s="20"/>
      <c r="I5" s="20"/>
      <c r="J5" s="20"/>
      <c r="K5" s="20"/>
      <c r="L5" s="21"/>
      <c r="M5" s="20" t="s">
        <v>97</v>
      </c>
    </row>
    <row r="6" customFormat="false" ht="30" hidden="false" customHeight="true" outlineLevel="0" collapsed="false">
      <c r="A6" s="20" t="s">
        <v>392</v>
      </c>
      <c r="B6" s="20" t="s">
        <v>393</v>
      </c>
      <c r="C6" s="20" t="s">
        <v>394</v>
      </c>
      <c r="D6" s="21"/>
      <c r="E6" s="21"/>
      <c r="F6" s="21"/>
      <c r="G6" s="27" t="str">
        <f aca="false">IF(E6="","",MAX(0,E6-Lists!$U$18))</f>
        <v/>
      </c>
      <c r="H6" s="20"/>
      <c r="I6" s="20"/>
      <c r="J6" s="20"/>
      <c r="K6" s="20"/>
      <c r="L6" s="21"/>
      <c r="M6" s="20" t="s">
        <v>97</v>
      </c>
    </row>
    <row r="7" customFormat="false" ht="30" hidden="false" customHeight="true" outlineLevel="0" collapsed="false">
      <c r="A7" s="20" t="s">
        <v>395</v>
      </c>
      <c r="B7" s="20" t="s">
        <v>396</v>
      </c>
      <c r="C7" s="20" t="s">
        <v>397</v>
      </c>
      <c r="D7" s="21"/>
      <c r="E7" s="21"/>
      <c r="F7" s="21"/>
      <c r="G7" s="27" t="str">
        <f aca="false">IF(E7="","",MAX(0,E7-Lists!$U$18))</f>
        <v/>
      </c>
      <c r="H7" s="20"/>
      <c r="I7" s="20"/>
      <c r="J7" s="20"/>
      <c r="K7" s="20"/>
      <c r="L7" s="21"/>
      <c r="M7" s="20" t="s">
        <v>97</v>
      </c>
    </row>
    <row r="8" customFormat="false" ht="15" hidden="false" customHeight="false" outlineLevel="0" collapsed="false">
      <c r="A8" s="20"/>
      <c r="B8" s="20"/>
      <c r="C8" s="20"/>
      <c r="D8" s="21"/>
      <c r="E8" s="21"/>
      <c r="F8" s="21"/>
      <c r="G8" s="27" t="str">
        <f aca="false">IF(E8="","",MAX(0,E8-Lists!$U$18))</f>
        <v/>
      </c>
      <c r="H8" s="20"/>
      <c r="I8" s="20"/>
      <c r="J8" s="20"/>
      <c r="K8" s="20"/>
      <c r="L8" s="21"/>
      <c r="M8" s="20"/>
    </row>
    <row r="9" customFormat="false" ht="15" hidden="false" customHeight="false" outlineLevel="0" collapsed="false">
      <c r="A9" s="20"/>
      <c r="B9" s="20"/>
      <c r="C9" s="20"/>
      <c r="D9" s="21"/>
      <c r="E9" s="21"/>
      <c r="F9" s="21"/>
      <c r="G9" s="27" t="str">
        <f aca="false">IF(E9="","",MAX(0,E9-Lists!$U$18))</f>
        <v/>
      </c>
      <c r="H9" s="20"/>
      <c r="I9" s="20"/>
      <c r="J9" s="20"/>
      <c r="K9" s="20"/>
      <c r="L9" s="21"/>
      <c r="M9" s="20"/>
    </row>
    <row r="10" customFormat="false" ht="15" hidden="false" customHeight="false" outlineLevel="0" collapsed="false">
      <c r="A10" s="20"/>
      <c r="B10" s="20"/>
      <c r="C10" s="20"/>
      <c r="D10" s="21"/>
      <c r="E10" s="21"/>
      <c r="F10" s="21"/>
      <c r="G10" s="27" t="str">
        <f aca="false">IF(E10="","",MAX(0,E10-Lists!$U$18))</f>
        <v/>
      </c>
      <c r="H10" s="20"/>
      <c r="I10" s="20"/>
      <c r="J10" s="20"/>
      <c r="K10" s="20"/>
      <c r="L10" s="21"/>
      <c r="M10" s="20"/>
    </row>
    <row r="11" customFormat="false" ht="15" hidden="false" customHeight="false" outlineLevel="0" collapsed="false">
      <c r="A11" s="20"/>
      <c r="B11" s="20"/>
      <c r="C11" s="20"/>
      <c r="D11" s="21"/>
      <c r="E11" s="21"/>
      <c r="F11" s="21"/>
      <c r="G11" s="27" t="str">
        <f aca="false">IF(E11="","",MAX(0,E11-Lists!$U$18))</f>
        <v/>
      </c>
      <c r="H11" s="20"/>
      <c r="I11" s="20"/>
      <c r="J11" s="20"/>
      <c r="K11" s="20"/>
      <c r="L11" s="21"/>
      <c r="M11" s="20"/>
    </row>
    <row r="12" customFormat="false" ht="15" hidden="false" customHeight="false" outlineLevel="0" collapsed="false">
      <c r="A12" s="20"/>
      <c r="B12" s="20"/>
      <c r="C12" s="20"/>
      <c r="D12" s="21"/>
      <c r="E12" s="21"/>
      <c r="F12" s="21"/>
      <c r="G12" s="27" t="str">
        <f aca="false">IF(E12="","",MAX(0,E12-Lists!$U$18))</f>
        <v/>
      </c>
      <c r="H12" s="20"/>
      <c r="I12" s="20"/>
      <c r="J12" s="20"/>
      <c r="K12" s="20"/>
      <c r="L12" s="21"/>
      <c r="M12" s="20"/>
    </row>
    <row r="13" customFormat="false" ht="15" hidden="false" customHeight="false" outlineLevel="0" collapsed="false">
      <c r="A13" s="20"/>
      <c r="B13" s="20"/>
      <c r="C13" s="20"/>
      <c r="D13" s="21"/>
      <c r="E13" s="21"/>
      <c r="F13" s="21"/>
      <c r="G13" s="27" t="str">
        <f aca="false">IF(E13="","",MAX(0,E13-Lists!$U$18))</f>
        <v/>
      </c>
      <c r="H13" s="20"/>
      <c r="I13" s="20"/>
      <c r="J13" s="20"/>
      <c r="K13" s="20"/>
      <c r="L13" s="21"/>
      <c r="M13" s="20"/>
    </row>
    <row r="14" customFormat="false" ht="15" hidden="false" customHeight="false" outlineLevel="0" collapsed="false">
      <c r="A14" s="20"/>
      <c r="B14" s="20"/>
      <c r="C14" s="20"/>
      <c r="D14" s="21"/>
      <c r="E14" s="21"/>
      <c r="F14" s="21"/>
      <c r="G14" s="27" t="str">
        <f aca="false">IF(E14="","",MAX(0,E14-Lists!$U$18))</f>
        <v/>
      </c>
      <c r="H14" s="20"/>
      <c r="I14" s="20"/>
      <c r="J14" s="20"/>
      <c r="K14" s="20"/>
      <c r="L14" s="21"/>
      <c r="M14" s="20"/>
    </row>
    <row r="15" customFormat="false" ht="15" hidden="false" customHeight="false" outlineLevel="0" collapsed="false">
      <c r="A15" s="20"/>
      <c r="B15" s="20"/>
      <c r="C15" s="20"/>
      <c r="D15" s="21"/>
      <c r="E15" s="21"/>
      <c r="F15" s="21"/>
      <c r="G15" s="27" t="str">
        <f aca="false">IF(E15="","",MAX(0,E15-Lists!$U$18))</f>
        <v/>
      </c>
      <c r="H15" s="20"/>
      <c r="I15" s="20"/>
      <c r="J15" s="20"/>
      <c r="K15" s="20"/>
      <c r="L15" s="21"/>
      <c r="M15" s="20"/>
    </row>
    <row r="16" customFormat="false" ht="15" hidden="false" customHeight="false" outlineLevel="0" collapsed="false">
      <c r="A16" s="20"/>
      <c r="B16" s="20"/>
      <c r="C16" s="20"/>
      <c r="D16" s="21"/>
      <c r="E16" s="21"/>
      <c r="F16" s="21"/>
      <c r="G16" s="27" t="str">
        <f aca="false">IF(E16="","",MAX(0,E16-Lists!$U$18))</f>
        <v/>
      </c>
      <c r="H16" s="20"/>
      <c r="I16" s="20"/>
      <c r="J16" s="20"/>
      <c r="K16" s="20"/>
      <c r="L16" s="21"/>
      <c r="M16" s="20"/>
    </row>
    <row r="17" customFormat="false" ht="15" hidden="false" customHeight="false" outlineLevel="0" collapsed="false">
      <c r="A17" s="20"/>
      <c r="B17" s="20"/>
      <c r="C17" s="20"/>
      <c r="D17" s="21"/>
      <c r="E17" s="21"/>
      <c r="F17" s="21"/>
      <c r="G17" s="27" t="str">
        <f aca="false">IF(E17="","",MAX(0,E17-Lists!$U$18))</f>
        <v/>
      </c>
      <c r="H17" s="20"/>
      <c r="I17" s="20"/>
      <c r="J17" s="20"/>
      <c r="K17" s="20"/>
      <c r="L17" s="21"/>
      <c r="M17" s="20"/>
    </row>
    <row r="18" customFormat="false" ht="15" hidden="false" customHeight="false" outlineLevel="0" collapsed="false">
      <c r="A18" s="20"/>
      <c r="B18" s="20"/>
      <c r="C18" s="20"/>
      <c r="D18" s="21"/>
      <c r="E18" s="21"/>
      <c r="F18" s="21"/>
      <c r="G18" s="27" t="str">
        <f aca="false">IF(E18="","",MAX(0,E18-Lists!$U$18))</f>
        <v/>
      </c>
      <c r="H18" s="20"/>
      <c r="I18" s="20"/>
      <c r="J18" s="20"/>
      <c r="K18" s="20"/>
      <c r="L18" s="21"/>
      <c r="M18" s="20"/>
    </row>
    <row r="19" customFormat="false" ht="15" hidden="false" customHeight="false" outlineLevel="0" collapsed="false">
      <c r="A19" s="20"/>
      <c r="B19" s="20"/>
      <c r="C19" s="20"/>
      <c r="D19" s="21"/>
      <c r="E19" s="21"/>
      <c r="F19" s="21"/>
      <c r="G19" s="27" t="str">
        <f aca="false">IF(E19="","",MAX(0,E19-Lists!$U$18))</f>
        <v/>
      </c>
      <c r="H19" s="20"/>
      <c r="I19" s="20"/>
      <c r="J19" s="20"/>
      <c r="K19" s="20"/>
      <c r="L19" s="21"/>
      <c r="M19" s="20"/>
    </row>
    <row r="20" customFormat="false" ht="15" hidden="false" customHeight="false" outlineLevel="0" collapsed="false">
      <c r="A20" s="20"/>
      <c r="B20" s="20"/>
      <c r="C20" s="20"/>
      <c r="D20" s="21"/>
      <c r="E20" s="21"/>
      <c r="F20" s="21"/>
      <c r="G20" s="27" t="str">
        <f aca="false">IF(E20="","",MAX(0,E20-Lists!$U$18))</f>
        <v/>
      </c>
      <c r="H20" s="20"/>
      <c r="I20" s="20"/>
      <c r="J20" s="20"/>
      <c r="K20" s="20"/>
      <c r="L20" s="21"/>
      <c r="M20" s="20"/>
    </row>
    <row r="21" customFormat="false" ht="15" hidden="false" customHeight="false" outlineLevel="0" collapsed="false">
      <c r="A21" s="20"/>
      <c r="B21" s="20"/>
      <c r="C21" s="20"/>
      <c r="D21" s="21"/>
      <c r="E21" s="21"/>
      <c r="F21" s="21"/>
      <c r="G21" s="27" t="str">
        <f aca="false">IF(E21="","",MAX(0,E21-Lists!$U$18))</f>
        <v/>
      </c>
      <c r="H21" s="20"/>
      <c r="I21" s="20"/>
      <c r="J21" s="20"/>
      <c r="K21" s="20"/>
      <c r="L21" s="21"/>
      <c r="M21" s="20"/>
    </row>
    <row r="22" customFormat="false" ht="15" hidden="false" customHeight="false" outlineLevel="0" collapsed="false">
      <c r="A22" s="20"/>
      <c r="B22" s="20"/>
      <c r="C22" s="20"/>
      <c r="D22" s="21"/>
      <c r="E22" s="21"/>
      <c r="F22" s="21"/>
      <c r="G22" s="27" t="str">
        <f aca="false">IF(E22="","",MAX(0,E22-Lists!$U$18))</f>
        <v/>
      </c>
      <c r="H22" s="20"/>
      <c r="I22" s="20"/>
      <c r="J22" s="20"/>
      <c r="K22" s="20"/>
      <c r="L22" s="21"/>
      <c r="M22" s="20"/>
    </row>
    <row r="23" customFormat="false" ht="15" hidden="false" customHeight="false" outlineLevel="0" collapsed="false">
      <c r="A23" s="20"/>
      <c r="B23" s="20"/>
      <c r="C23" s="20"/>
      <c r="D23" s="21"/>
      <c r="E23" s="21"/>
      <c r="F23" s="21"/>
      <c r="G23" s="27" t="str">
        <f aca="false">IF(E23="","",MAX(0,E23-Lists!$U$18))</f>
        <v/>
      </c>
      <c r="H23" s="20"/>
      <c r="I23" s="20"/>
      <c r="J23" s="20"/>
      <c r="K23" s="20"/>
      <c r="L23" s="21"/>
      <c r="M23" s="20"/>
    </row>
    <row r="24" customFormat="false" ht="15" hidden="false" customHeight="false" outlineLevel="0" collapsed="false">
      <c r="A24" s="20"/>
      <c r="B24" s="20"/>
      <c r="C24" s="20"/>
      <c r="D24" s="21"/>
      <c r="E24" s="21"/>
      <c r="F24" s="21"/>
      <c r="G24" s="27" t="str">
        <f aca="false">IF(E24="","",MAX(0,E24-Lists!$U$18))</f>
        <v/>
      </c>
      <c r="H24" s="20"/>
      <c r="I24" s="20"/>
      <c r="J24" s="20"/>
      <c r="K24" s="20"/>
      <c r="L24" s="21"/>
      <c r="M24" s="20"/>
    </row>
    <row r="25" customFormat="false" ht="15" hidden="false" customHeight="false" outlineLevel="0" collapsed="false">
      <c r="A25" s="20"/>
      <c r="B25" s="20"/>
      <c r="C25" s="20"/>
      <c r="D25" s="21"/>
      <c r="E25" s="21"/>
      <c r="F25" s="21"/>
      <c r="G25" s="27" t="str">
        <f aca="false">IF(E25="","",MAX(0,E25-Lists!$U$18))</f>
        <v/>
      </c>
      <c r="H25" s="20"/>
      <c r="I25" s="20"/>
      <c r="J25" s="20"/>
      <c r="K25" s="20"/>
      <c r="L25" s="21"/>
      <c r="M25" s="20"/>
    </row>
    <row r="26" customFormat="false" ht="15" hidden="false" customHeight="false" outlineLevel="0" collapsed="false">
      <c r="A26" s="20"/>
      <c r="B26" s="20"/>
      <c r="C26" s="20"/>
      <c r="D26" s="21"/>
      <c r="E26" s="21"/>
      <c r="F26" s="21"/>
      <c r="G26" s="27" t="str">
        <f aca="false">IF(E26="","",MAX(0,E26-Lists!$U$18))</f>
        <v/>
      </c>
      <c r="H26" s="20"/>
      <c r="I26" s="20"/>
      <c r="J26" s="20"/>
      <c r="K26" s="20"/>
      <c r="L26" s="21"/>
      <c r="M26" s="20"/>
    </row>
    <row r="27" customFormat="false" ht="15" hidden="false" customHeight="false" outlineLevel="0" collapsed="false">
      <c r="A27" s="20"/>
      <c r="B27" s="20"/>
      <c r="C27" s="20"/>
      <c r="D27" s="21"/>
      <c r="E27" s="21"/>
      <c r="F27" s="21"/>
      <c r="G27" s="27" t="str">
        <f aca="false">IF(E27="","",MAX(0,E27-Lists!$U$18))</f>
        <v/>
      </c>
      <c r="H27" s="20"/>
      <c r="I27" s="20"/>
      <c r="J27" s="20"/>
      <c r="K27" s="20"/>
      <c r="L27" s="21"/>
      <c r="M27" s="20"/>
    </row>
    <row r="28" customFormat="false" ht="15" hidden="false" customHeight="false" outlineLevel="0" collapsed="false">
      <c r="A28" s="20"/>
      <c r="B28" s="20"/>
      <c r="C28" s="20"/>
      <c r="D28" s="21"/>
      <c r="E28" s="21"/>
      <c r="F28" s="21"/>
      <c r="G28" s="27" t="str">
        <f aca="false">IF(E28="","",MAX(0,E28-Lists!$U$18))</f>
        <v/>
      </c>
      <c r="H28" s="20"/>
      <c r="I28" s="20"/>
      <c r="J28" s="20"/>
      <c r="K28" s="20"/>
      <c r="L28" s="21"/>
      <c r="M28" s="20"/>
    </row>
    <row r="29" customFormat="false" ht="15" hidden="false" customHeight="false" outlineLevel="0" collapsed="false">
      <c r="A29" s="20"/>
      <c r="B29" s="20"/>
      <c r="C29" s="20"/>
      <c r="D29" s="21"/>
      <c r="E29" s="21"/>
      <c r="F29" s="21"/>
      <c r="G29" s="27" t="str">
        <f aca="false">IF(E29="","",MAX(0,E29-Lists!$U$18))</f>
        <v/>
      </c>
      <c r="H29" s="20"/>
      <c r="I29" s="20"/>
      <c r="J29" s="20"/>
      <c r="K29" s="20"/>
      <c r="L29" s="21"/>
      <c r="M29" s="20"/>
    </row>
    <row r="30" customFormat="false" ht="15" hidden="false" customHeight="false" outlineLevel="0" collapsed="false">
      <c r="A30" s="20"/>
      <c r="B30" s="20"/>
      <c r="C30" s="20"/>
      <c r="D30" s="21"/>
      <c r="E30" s="21"/>
      <c r="F30" s="21"/>
      <c r="G30" s="27" t="str">
        <f aca="false">IF(E30="","",MAX(0,E30-Lists!$U$18))</f>
        <v/>
      </c>
      <c r="H30" s="20"/>
      <c r="I30" s="20"/>
      <c r="J30" s="20"/>
      <c r="K30" s="20"/>
      <c r="L30" s="21"/>
      <c r="M30" s="20"/>
    </row>
    <row r="31" customFormat="false" ht="15" hidden="false" customHeight="false" outlineLevel="0" collapsed="false">
      <c r="A31" s="20"/>
      <c r="B31" s="20"/>
      <c r="C31" s="20"/>
      <c r="D31" s="21"/>
      <c r="E31" s="21"/>
      <c r="F31" s="21"/>
      <c r="G31" s="27" t="str">
        <f aca="false">IF(E31="","",MAX(0,E31-Lists!$U$18))</f>
        <v/>
      </c>
      <c r="H31" s="20"/>
      <c r="I31" s="20"/>
      <c r="J31" s="20"/>
      <c r="K31" s="20"/>
      <c r="L31" s="21"/>
      <c r="M31" s="20"/>
    </row>
    <row r="32" customFormat="false" ht="15" hidden="false" customHeight="false" outlineLevel="0" collapsed="false">
      <c r="A32" s="20"/>
      <c r="B32" s="20"/>
      <c r="C32" s="20"/>
      <c r="D32" s="21"/>
      <c r="E32" s="21"/>
      <c r="F32" s="21"/>
      <c r="G32" s="27" t="str">
        <f aca="false">IF(E32="","",MAX(0,E32-Lists!$U$18))</f>
        <v/>
      </c>
      <c r="H32" s="20"/>
      <c r="I32" s="20"/>
      <c r="J32" s="20"/>
      <c r="K32" s="20"/>
      <c r="L32" s="21"/>
      <c r="M32" s="20"/>
    </row>
    <row r="33" customFormat="false" ht="15" hidden="false" customHeight="false" outlineLevel="0" collapsed="false">
      <c r="A33" s="20"/>
      <c r="B33" s="20"/>
      <c r="C33" s="20"/>
      <c r="D33" s="21"/>
      <c r="E33" s="21"/>
      <c r="F33" s="21"/>
      <c r="G33" s="27" t="str">
        <f aca="false">IF(E33="","",MAX(0,E33-Lists!$U$18))</f>
        <v/>
      </c>
      <c r="H33" s="20"/>
      <c r="I33" s="20"/>
      <c r="J33" s="20"/>
      <c r="K33" s="20"/>
      <c r="L33" s="21"/>
      <c r="M33" s="20"/>
    </row>
    <row r="34" customFormat="false" ht="15" hidden="false" customHeight="false" outlineLevel="0" collapsed="false">
      <c r="A34" s="20"/>
      <c r="B34" s="20"/>
      <c r="C34" s="20"/>
      <c r="D34" s="21"/>
      <c r="E34" s="21"/>
      <c r="F34" s="21"/>
      <c r="G34" s="27" t="str">
        <f aca="false">IF(E34="","",MAX(0,E34-Lists!$U$18))</f>
        <v/>
      </c>
      <c r="H34" s="20"/>
      <c r="I34" s="20"/>
      <c r="J34" s="20"/>
      <c r="K34" s="20"/>
      <c r="L34" s="21"/>
      <c r="M34" s="20"/>
    </row>
    <row r="35" customFormat="false" ht="15" hidden="false" customHeight="false" outlineLevel="0" collapsed="false">
      <c r="A35" s="20"/>
      <c r="B35" s="20"/>
      <c r="C35" s="20"/>
      <c r="D35" s="21"/>
      <c r="E35" s="21"/>
      <c r="F35" s="21"/>
      <c r="G35" s="27" t="str">
        <f aca="false">IF(E35="","",MAX(0,E35-Lists!$U$18))</f>
        <v/>
      </c>
      <c r="H35" s="20"/>
      <c r="I35" s="20"/>
      <c r="J35" s="20"/>
      <c r="K35" s="20"/>
      <c r="L35" s="21"/>
      <c r="M35" s="20"/>
    </row>
    <row r="36" customFormat="false" ht="15" hidden="false" customHeight="false" outlineLevel="0" collapsed="false">
      <c r="A36" s="20"/>
      <c r="B36" s="20"/>
      <c r="C36" s="20"/>
      <c r="D36" s="21"/>
      <c r="E36" s="21"/>
      <c r="F36" s="21"/>
      <c r="G36" s="27" t="str">
        <f aca="false">IF(E36="","",MAX(0,E36-Lists!$U$18))</f>
        <v/>
      </c>
      <c r="H36" s="20"/>
      <c r="I36" s="20"/>
      <c r="J36" s="20"/>
      <c r="K36" s="20"/>
      <c r="L36" s="21"/>
      <c r="M36" s="20"/>
    </row>
    <row r="37" customFormat="false" ht="15" hidden="false" customHeight="false" outlineLevel="0" collapsed="false">
      <c r="A37" s="20"/>
      <c r="B37" s="20"/>
      <c r="C37" s="20"/>
      <c r="D37" s="21"/>
      <c r="E37" s="21"/>
      <c r="F37" s="21"/>
      <c r="G37" s="27" t="str">
        <f aca="false">IF(E37="","",MAX(0,E37-Lists!$U$18))</f>
        <v/>
      </c>
      <c r="H37" s="20"/>
      <c r="I37" s="20"/>
      <c r="J37" s="20"/>
      <c r="K37" s="20"/>
      <c r="L37" s="21"/>
      <c r="M37" s="20"/>
    </row>
    <row r="38" customFormat="false" ht="15" hidden="false" customHeight="false" outlineLevel="0" collapsed="false">
      <c r="A38" s="20"/>
      <c r="B38" s="20"/>
      <c r="C38" s="20"/>
      <c r="D38" s="21"/>
      <c r="E38" s="21"/>
      <c r="F38" s="21"/>
      <c r="G38" s="27" t="str">
        <f aca="false">IF(E38="","",MAX(0,E38-Lists!$U$18))</f>
        <v/>
      </c>
      <c r="H38" s="20"/>
      <c r="I38" s="20"/>
      <c r="J38" s="20"/>
      <c r="K38" s="20"/>
      <c r="L38" s="21"/>
      <c r="M38" s="20"/>
    </row>
    <row r="39" customFormat="false" ht="15" hidden="false" customHeight="false" outlineLevel="0" collapsed="false">
      <c r="A39" s="20"/>
      <c r="B39" s="20"/>
      <c r="C39" s="20"/>
      <c r="D39" s="21"/>
      <c r="E39" s="21"/>
      <c r="F39" s="21"/>
      <c r="G39" s="27" t="str">
        <f aca="false">IF(E39="","",MAX(0,E39-Lists!$U$18))</f>
        <v/>
      </c>
      <c r="H39" s="20"/>
      <c r="I39" s="20"/>
      <c r="J39" s="20"/>
      <c r="K39" s="20"/>
      <c r="L39" s="21"/>
      <c r="M39" s="20"/>
    </row>
    <row r="40" customFormat="false" ht="15" hidden="false" customHeight="false" outlineLevel="0" collapsed="false">
      <c r="A40" s="20"/>
      <c r="B40" s="20"/>
      <c r="C40" s="20"/>
      <c r="D40" s="21"/>
      <c r="E40" s="21"/>
      <c r="F40" s="21"/>
      <c r="G40" s="27" t="str">
        <f aca="false">IF(E40="","",MAX(0,E40-Lists!$U$18))</f>
        <v/>
      </c>
      <c r="H40" s="20"/>
      <c r="I40" s="20"/>
      <c r="J40" s="20"/>
      <c r="K40" s="20"/>
      <c r="L40" s="21"/>
      <c r="M40" s="20"/>
    </row>
  </sheetData>
  <dataValidations count="1">
    <dataValidation allowBlank="true" error="Choose a value from the list (see the Lists sheet)." errorStyle="stop" errorTitle="Not in list" operator="between" showDropDown="false" showErrorMessage="false" showInputMessage="false" sqref="M2:M40" type="list">
      <formula1>Lists!$N$2:$N$5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11"/>
    <col collapsed="false" customWidth="true" hidden="false" outlineLevel="0" max="6" min="6" style="0" width="14"/>
  </cols>
  <sheetData>
    <row r="1" customFormat="false" ht="42" hidden="false" customHeight="true" outlineLevel="0" collapsed="false">
      <c r="A1" s="16" t="s">
        <v>398</v>
      </c>
      <c r="B1" s="16" t="s">
        <v>399</v>
      </c>
      <c r="C1" s="16" t="s">
        <v>400</v>
      </c>
      <c r="D1" s="16" t="s">
        <v>401</v>
      </c>
      <c r="E1" s="16" t="s">
        <v>402</v>
      </c>
      <c r="F1" s="16" t="s">
        <v>277</v>
      </c>
    </row>
    <row r="2" customFormat="false" ht="30" hidden="false" customHeight="true" outlineLevel="0" collapsed="false">
      <c r="A2" s="20" t="s">
        <v>403</v>
      </c>
      <c r="B2" s="20" t="s">
        <v>404</v>
      </c>
      <c r="C2" s="20" t="s">
        <v>405</v>
      </c>
      <c r="D2" s="20" t="s">
        <v>406</v>
      </c>
      <c r="E2" s="21" t="n">
        <v>46321</v>
      </c>
      <c r="F2" s="20" t="s">
        <v>407</v>
      </c>
    </row>
    <row r="3" customFormat="false" ht="30" hidden="false" customHeight="true" outlineLevel="0" collapsed="false">
      <c r="A3" s="20" t="s">
        <v>408</v>
      </c>
      <c r="B3" s="20" t="s">
        <v>409</v>
      </c>
      <c r="C3" s="20" t="s">
        <v>405</v>
      </c>
      <c r="D3" s="20" t="s">
        <v>410</v>
      </c>
      <c r="E3" s="21" t="n">
        <v>46321</v>
      </c>
      <c r="F3" s="20" t="s">
        <v>407</v>
      </c>
    </row>
    <row r="4" customFormat="false" ht="30" hidden="false" customHeight="true" outlineLevel="0" collapsed="false">
      <c r="A4" s="20" t="s">
        <v>296</v>
      </c>
      <c r="B4" s="20" t="s">
        <v>411</v>
      </c>
      <c r="C4" s="20" t="s">
        <v>412</v>
      </c>
      <c r="D4" s="20" t="s">
        <v>413</v>
      </c>
      <c r="E4" s="21" t="n">
        <v>46321</v>
      </c>
      <c r="F4" s="20" t="s">
        <v>407</v>
      </c>
    </row>
    <row r="5" customFormat="false" ht="30" hidden="false" customHeight="true" outlineLevel="0" collapsed="false">
      <c r="A5" s="20" t="s">
        <v>299</v>
      </c>
      <c r="B5" s="20" t="s">
        <v>414</v>
      </c>
      <c r="C5" s="20" t="s">
        <v>405</v>
      </c>
      <c r="D5" s="20" t="s">
        <v>415</v>
      </c>
      <c r="E5" s="21" t="n">
        <v>46321</v>
      </c>
      <c r="F5" s="20" t="s">
        <v>407</v>
      </c>
    </row>
    <row r="6" customFormat="false" ht="30" hidden="false" customHeight="true" outlineLevel="0" collapsed="false">
      <c r="A6" s="20" t="s">
        <v>299</v>
      </c>
      <c r="B6" s="20" t="s">
        <v>416</v>
      </c>
      <c r="C6" s="20" t="s">
        <v>417</v>
      </c>
      <c r="D6" s="20" t="s">
        <v>418</v>
      </c>
      <c r="E6" s="21" t="n">
        <v>46321</v>
      </c>
      <c r="F6" s="20" t="s">
        <v>407</v>
      </c>
    </row>
    <row r="7" customFormat="false" ht="30" hidden="false" customHeight="true" outlineLevel="0" collapsed="false">
      <c r="A7" s="20" t="s">
        <v>299</v>
      </c>
      <c r="B7" s="20" t="s">
        <v>419</v>
      </c>
      <c r="C7" s="20" t="s">
        <v>420</v>
      </c>
      <c r="D7" s="20" t="s">
        <v>421</v>
      </c>
      <c r="E7" s="21" t="n">
        <v>46321</v>
      </c>
      <c r="F7" s="20" t="s">
        <v>407</v>
      </c>
    </row>
    <row r="8" customFormat="false" ht="30" hidden="false" customHeight="true" outlineLevel="0" collapsed="false">
      <c r="A8" s="20" t="s">
        <v>422</v>
      </c>
      <c r="B8" s="20" t="s">
        <v>423</v>
      </c>
      <c r="C8" s="20" t="s">
        <v>420</v>
      </c>
      <c r="D8" s="20" t="s">
        <v>424</v>
      </c>
      <c r="E8" s="21" t="n">
        <v>46321</v>
      </c>
      <c r="F8" s="20" t="s">
        <v>407</v>
      </c>
    </row>
    <row r="9" customFormat="false" ht="30" hidden="false" customHeight="true" outlineLevel="0" collapsed="false">
      <c r="A9" s="20" t="s">
        <v>293</v>
      </c>
      <c r="B9" s="20" t="s">
        <v>292</v>
      </c>
      <c r="C9" s="20" t="s">
        <v>405</v>
      </c>
      <c r="D9" s="20" t="s">
        <v>425</v>
      </c>
      <c r="E9" s="21" t="n">
        <v>46321</v>
      </c>
      <c r="F9" s="20" t="s">
        <v>407</v>
      </c>
    </row>
    <row r="10" customFormat="false" ht="30" hidden="false" customHeight="true" outlineLevel="0" collapsed="false">
      <c r="A10" s="20" t="s">
        <v>293</v>
      </c>
      <c r="B10" s="20" t="s">
        <v>426</v>
      </c>
      <c r="C10" s="20" t="s">
        <v>420</v>
      </c>
      <c r="D10" s="20" t="s">
        <v>427</v>
      </c>
      <c r="E10" s="21" t="n">
        <v>46321</v>
      </c>
      <c r="F10" s="20" t="s">
        <v>407</v>
      </c>
    </row>
    <row r="11" customFormat="false" ht="30" hidden="false" customHeight="true" outlineLevel="0" collapsed="false">
      <c r="A11" s="20" t="s">
        <v>428</v>
      </c>
      <c r="B11" s="20" t="s">
        <v>429</v>
      </c>
      <c r="C11" s="20" t="s">
        <v>405</v>
      </c>
      <c r="D11" s="20" t="s">
        <v>430</v>
      </c>
      <c r="E11" s="21" t="n">
        <v>46321</v>
      </c>
      <c r="F11" s="20" t="s">
        <v>407</v>
      </c>
    </row>
    <row r="12" customFormat="false" ht="30" hidden="false" customHeight="true" outlineLevel="0" collapsed="false">
      <c r="A12" s="20" t="s">
        <v>431</v>
      </c>
      <c r="B12" s="20" t="s">
        <v>432</v>
      </c>
      <c r="C12" s="20" t="s">
        <v>420</v>
      </c>
      <c r="D12" s="20" t="s">
        <v>433</v>
      </c>
      <c r="E12" s="21" t="n">
        <v>46321</v>
      </c>
      <c r="F12" s="20" t="s">
        <v>407</v>
      </c>
    </row>
    <row r="13" customFormat="false" ht="30" hidden="false" customHeight="true" outlineLevel="0" collapsed="false">
      <c r="A13" s="20" t="s">
        <v>434</v>
      </c>
      <c r="B13" s="20" t="s">
        <v>435</v>
      </c>
      <c r="C13" s="20" t="s">
        <v>405</v>
      </c>
      <c r="D13" s="20" t="s">
        <v>436</v>
      </c>
      <c r="E13" s="21" t="n">
        <v>46321</v>
      </c>
      <c r="F13" s="20" t="s">
        <v>407</v>
      </c>
    </row>
    <row r="14" customFormat="false" ht="30" hidden="false" customHeight="true" outlineLevel="0" collapsed="false">
      <c r="A14" s="20" t="s">
        <v>437</v>
      </c>
      <c r="B14" s="20" t="s">
        <v>438</v>
      </c>
      <c r="C14" s="20" t="s">
        <v>439</v>
      </c>
      <c r="D14" s="20" t="s">
        <v>440</v>
      </c>
      <c r="E14" s="21" t="n">
        <v>46321</v>
      </c>
      <c r="F14" s="20" t="s">
        <v>407</v>
      </c>
    </row>
    <row r="15" customFormat="false" ht="30" hidden="false" customHeight="true" outlineLevel="0" collapsed="false">
      <c r="A15" s="20" t="s">
        <v>441</v>
      </c>
      <c r="B15" s="20" t="s">
        <v>442</v>
      </c>
      <c r="C15" s="20" t="s">
        <v>443</v>
      </c>
      <c r="D15" s="20" t="s">
        <v>444</v>
      </c>
      <c r="E15" s="21" t="n">
        <v>46321</v>
      </c>
      <c r="F15" s="20" t="s">
        <v>407</v>
      </c>
    </row>
    <row r="16" customFormat="false" ht="15" hidden="false" customHeight="false" outlineLevel="0" collapsed="false">
      <c r="A16" s="20"/>
      <c r="B16" s="20"/>
      <c r="C16" s="20"/>
      <c r="D16" s="20"/>
      <c r="E16" s="21"/>
      <c r="F16" s="20"/>
    </row>
    <row r="17" customFormat="false" ht="15" hidden="false" customHeight="false" outlineLevel="0" collapsed="false">
      <c r="A17" s="20"/>
      <c r="B17" s="20"/>
      <c r="C17" s="20"/>
      <c r="D17" s="20"/>
      <c r="E17" s="21"/>
      <c r="F17" s="20"/>
    </row>
    <row r="18" customFormat="false" ht="15" hidden="false" customHeight="false" outlineLevel="0" collapsed="false">
      <c r="A18" s="20"/>
      <c r="B18" s="20"/>
      <c r="C18" s="20"/>
      <c r="D18" s="20"/>
      <c r="E18" s="21"/>
      <c r="F18" s="20"/>
    </row>
    <row r="19" customFormat="false" ht="15" hidden="false" customHeight="false" outlineLevel="0" collapsed="false">
      <c r="A19" s="20"/>
      <c r="B19" s="20"/>
      <c r="C19" s="20"/>
      <c r="D19" s="20"/>
      <c r="E19" s="21"/>
      <c r="F19" s="20"/>
    </row>
    <row r="20" customFormat="false" ht="15" hidden="false" customHeight="false" outlineLevel="0" collapsed="false">
      <c r="A20" s="20"/>
      <c r="B20" s="20"/>
      <c r="C20" s="20"/>
      <c r="D20" s="20"/>
      <c r="E20" s="21"/>
      <c r="F20" s="20"/>
    </row>
    <row r="21" customFormat="false" ht="15" hidden="false" customHeight="false" outlineLevel="0" collapsed="false">
      <c r="A21" s="20"/>
      <c r="B21" s="20"/>
      <c r="C21" s="20"/>
      <c r="D21" s="20"/>
      <c r="E21" s="21"/>
      <c r="F21" s="20"/>
    </row>
    <row r="22" customFormat="false" ht="15" hidden="false" customHeight="false" outlineLevel="0" collapsed="false">
      <c r="A22" s="20"/>
      <c r="B22" s="20"/>
      <c r="C22" s="20"/>
      <c r="D22" s="20"/>
      <c r="E22" s="21"/>
      <c r="F22" s="20"/>
    </row>
    <row r="23" customFormat="false" ht="15" hidden="false" customHeight="false" outlineLevel="0" collapsed="false">
      <c r="A23" s="20"/>
      <c r="B23" s="20"/>
      <c r="C23" s="20"/>
      <c r="D23" s="20"/>
      <c r="E23" s="21"/>
      <c r="F23" s="20"/>
    </row>
    <row r="24" customFormat="false" ht="15" hidden="false" customHeight="false" outlineLevel="0" collapsed="false">
      <c r="A24" s="20"/>
      <c r="B24" s="20"/>
      <c r="C24" s="20"/>
      <c r="D24" s="20"/>
      <c r="E24" s="21"/>
      <c r="F24" s="20"/>
    </row>
    <row r="25" customFormat="false" ht="15" hidden="false" customHeight="false" outlineLevel="0" collapsed="false">
      <c r="A25" s="20"/>
      <c r="B25" s="20"/>
      <c r="C25" s="20"/>
      <c r="D25" s="20"/>
      <c r="E25" s="21"/>
      <c r="F25" s="20"/>
    </row>
    <row r="26" customFormat="false" ht="15" hidden="false" customHeight="false" outlineLevel="0" collapsed="false">
      <c r="A26" s="20"/>
      <c r="B26" s="20"/>
      <c r="C26" s="20"/>
      <c r="D26" s="20"/>
      <c r="E26" s="21"/>
      <c r="F26" s="20"/>
    </row>
    <row r="27" customFormat="false" ht="15" hidden="false" customHeight="false" outlineLevel="0" collapsed="false">
      <c r="A27" s="20"/>
      <c r="B27" s="20"/>
      <c r="C27" s="20"/>
      <c r="D27" s="20"/>
      <c r="E27" s="21"/>
      <c r="F27" s="20"/>
    </row>
    <row r="28" customFormat="false" ht="15" hidden="false" customHeight="false" outlineLevel="0" collapsed="false">
      <c r="A28" s="20"/>
      <c r="B28" s="20"/>
      <c r="C28" s="20"/>
      <c r="D28" s="20"/>
      <c r="E28" s="21"/>
      <c r="F28" s="20"/>
    </row>
    <row r="29" customFormat="false" ht="15" hidden="false" customHeight="false" outlineLevel="0" collapsed="false">
      <c r="A29" s="20"/>
      <c r="B29" s="20"/>
      <c r="C29" s="20"/>
      <c r="D29" s="20"/>
      <c r="E29" s="21"/>
      <c r="F29" s="20"/>
    </row>
    <row r="30" customFormat="false" ht="15" hidden="false" customHeight="false" outlineLevel="0" collapsed="false">
      <c r="A30" s="20"/>
      <c r="B30" s="20"/>
      <c r="C30" s="20"/>
      <c r="D30" s="20"/>
      <c r="E30" s="21"/>
      <c r="F30" s="20"/>
    </row>
    <row r="31" customFormat="false" ht="15" hidden="false" customHeight="false" outlineLevel="0" collapsed="false">
      <c r="A31" s="20"/>
      <c r="B31" s="20"/>
      <c r="C31" s="20"/>
      <c r="D31" s="20"/>
      <c r="E31" s="21"/>
      <c r="F31" s="20"/>
    </row>
    <row r="32" customFormat="false" ht="15" hidden="false" customHeight="false" outlineLevel="0" collapsed="false">
      <c r="A32" s="20"/>
      <c r="B32" s="20"/>
      <c r="C32" s="20"/>
      <c r="D32" s="20"/>
      <c r="E32" s="21"/>
      <c r="F32" s="20"/>
    </row>
    <row r="33" customFormat="false" ht="15" hidden="false" customHeight="false" outlineLevel="0" collapsed="false">
      <c r="A33" s="20"/>
      <c r="B33" s="20"/>
      <c r="C33" s="20"/>
      <c r="D33" s="20"/>
      <c r="E33" s="21"/>
      <c r="F33" s="20"/>
    </row>
    <row r="34" customFormat="false" ht="15" hidden="false" customHeight="false" outlineLevel="0" collapsed="false">
      <c r="A34" s="20"/>
      <c r="B34" s="20"/>
      <c r="C34" s="20"/>
      <c r="D34" s="20"/>
      <c r="E34" s="21"/>
      <c r="F34" s="20"/>
    </row>
    <row r="35" customFormat="false" ht="15" hidden="false" customHeight="false" outlineLevel="0" collapsed="false">
      <c r="A35" s="20"/>
      <c r="B35" s="20"/>
      <c r="C35" s="20"/>
      <c r="D35" s="20"/>
      <c r="E35" s="21"/>
      <c r="F35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tru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58"/>
  </cols>
  <sheetData>
    <row r="1" customFormat="false" ht="42" hidden="false" customHeight="true" outlineLevel="0" collapsed="false">
      <c r="A1" s="16" t="s">
        <v>445</v>
      </c>
      <c r="B1" s="16" t="s">
        <v>446</v>
      </c>
      <c r="C1" s="16" t="s">
        <v>252</v>
      </c>
      <c r="D1" s="16" t="s">
        <v>447</v>
      </c>
      <c r="E1" s="16" t="s">
        <v>448</v>
      </c>
    </row>
    <row r="2" customFormat="false" ht="15" hidden="false" customHeight="false" outlineLevel="0" collapsed="false">
      <c r="A2" s="20" t="s">
        <v>177</v>
      </c>
      <c r="B2" s="20" t="s">
        <v>449</v>
      </c>
      <c r="C2" s="20" t="s">
        <v>450</v>
      </c>
      <c r="D2" s="20" t="s">
        <v>408</v>
      </c>
      <c r="E2" s="31" t="s">
        <v>451</v>
      </c>
    </row>
    <row r="3" customFormat="false" ht="15" hidden="false" customHeight="false" outlineLevel="0" collapsed="false">
      <c r="A3" s="20" t="s">
        <v>246</v>
      </c>
      <c r="B3" s="20" t="s">
        <v>452</v>
      </c>
      <c r="C3" s="20" t="s">
        <v>453</v>
      </c>
      <c r="D3" s="20" t="s">
        <v>454</v>
      </c>
      <c r="E3" s="31" t="s">
        <v>455</v>
      </c>
    </row>
    <row r="4" customFormat="false" ht="15" hidden="false" customHeight="false" outlineLevel="0" collapsed="false">
      <c r="A4" s="20" t="s">
        <v>456</v>
      </c>
      <c r="B4" s="20" t="s">
        <v>457</v>
      </c>
      <c r="C4" s="20" t="s">
        <v>458</v>
      </c>
      <c r="D4" s="20" t="s">
        <v>459</v>
      </c>
      <c r="E4" s="31" t="s">
        <v>460</v>
      </c>
    </row>
    <row r="5" customFormat="false" ht="15" hidden="false" customHeight="false" outlineLevel="0" collapsed="false">
      <c r="A5" s="20" t="s">
        <v>461</v>
      </c>
      <c r="B5" s="20" t="s">
        <v>462</v>
      </c>
      <c r="C5" s="20" t="s">
        <v>463</v>
      </c>
      <c r="D5" s="20" t="s">
        <v>459</v>
      </c>
      <c r="E5" s="31" t="s">
        <v>464</v>
      </c>
    </row>
    <row r="6" customFormat="false" ht="15" hidden="false" customHeight="false" outlineLevel="0" collapsed="false">
      <c r="A6" s="20" t="s">
        <v>231</v>
      </c>
      <c r="B6" s="20" t="s">
        <v>465</v>
      </c>
      <c r="C6" s="20" t="s">
        <v>466</v>
      </c>
      <c r="D6" s="20" t="s">
        <v>467</v>
      </c>
      <c r="E6" s="31" t="s">
        <v>468</v>
      </c>
    </row>
    <row r="7" customFormat="false" ht="15" hidden="false" customHeight="false" outlineLevel="0" collapsed="false">
      <c r="A7" s="20" t="s">
        <v>469</v>
      </c>
      <c r="B7" s="20" t="s">
        <v>470</v>
      </c>
      <c r="C7" s="20" t="s">
        <v>471</v>
      </c>
      <c r="D7" s="20" t="s">
        <v>467</v>
      </c>
      <c r="E7" s="31" t="s">
        <v>472</v>
      </c>
    </row>
    <row r="8" customFormat="false" ht="15" hidden="false" customHeight="false" outlineLevel="0" collapsed="false">
      <c r="A8" s="20" t="s">
        <v>473</v>
      </c>
      <c r="B8" s="20" t="s">
        <v>474</v>
      </c>
      <c r="C8" s="20" t="s">
        <v>475</v>
      </c>
      <c r="D8" s="20" t="s">
        <v>467</v>
      </c>
      <c r="E8" s="31" t="s">
        <v>476</v>
      </c>
    </row>
    <row r="9" customFormat="false" ht="15" hidden="false" customHeight="false" outlineLevel="0" collapsed="false">
      <c r="A9" s="20" t="s">
        <v>477</v>
      </c>
      <c r="B9" s="20" t="s">
        <v>478</v>
      </c>
      <c r="C9" s="20" t="s">
        <v>471</v>
      </c>
      <c r="D9" s="20" t="s">
        <v>467</v>
      </c>
      <c r="E9" s="31" t="s">
        <v>479</v>
      </c>
    </row>
    <row r="10" customFormat="false" ht="15" hidden="false" customHeight="false" outlineLevel="0" collapsed="false">
      <c r="A10" s="20" t="s">
        <v>480</v>
      </c>
      <c r="B10" s="20" t="s">
        <v>481</v>
      </c>
      <c r="C10" s="20" t="s">
        <v>482</v>
      </c>
      <c r="D10" s="20" t="s">
        <v>483</v>
      </c>
      <c r="E10" s="31" t="s">
        <v>484</v>
      </c>
    </row>
    <row r="11" customFormat="false" ht="23.85" hidden="false" customHeight="false" outlineLevel="0" collapsed="false">
      <c r="A11" s="20" t="s">
        <v>139</v>
      </c>
      <c r="B11" s="20" t="s">
        <v>485</v>
      </c>
      <c r="C11" s="20" t="s">
        <v>486</v>
      </c>
      <c r="D11" s="20" t="s">
        <v>487</v>
      </c>
      <c r="E11" s="31" t="s">
        <v>488</v>
      </c>
    </row>
    <row r="12" customFormat="false" ht="15" hidden="false" customHeight="false" outlineLevel="0" collapsed="false">
      <c r="A12" s="20" t="s">
        <v>190</v>
      </c>
      <c r="B12" s="20" t="s">
        <v>489</v>
      </c>
      <c r="C12" s="20" t="s">
        <v>490</v>
      </c>
      <c r="D12" s="20" t="s">
        <v>491</v>
      </c>
      <c r="E12" s="31" t="s">
        <v>492</v>
      </c>
    </row>
    <row r="13" customFormat="false" ht="23.85" hidden="false" customHeight="false" outlineLevel="0" collapsed="false">
      <c r="A13" s="20" t="s">
        <v>493</v>
      </c>
      <c r="B13" s="20" t="s">
        <v>494</v>
      </c>
      <c r="C13" s="20" t="s">
        <v>495</v>
      </c>
      <c r="D13" s="20" t="s">
        <v>496</v>
      </c>
      <c r="E13" s="31" t="s">
        <v>497</v>
      </c>
    </row>
    <row r="14" customFormat="false" ht="23.85" hidden="false" customHeight="false" outlineLevel="0" collapsed="false">
      <c r="A14" s="20" t="s">
        <v>498</v>
      </c>
      <c r="B14" s="20" t="s">
        <v>499</v>
      </c>
      <c r="C14" s="20" t="s">
        <v>500</v>
      </c>
      <c r="D14" s="20" t="s">
        <v>501</v>
      </c>
      <c r="E14" s="31" t="s">
        <v>502</v>
      </c>
    </row>
    <row r="15" customFormat="false" ht="23.85" hidden="false" customHeight="false" outlineLevel="0" collapsed="false">
      <c r="A15" s="20" t="s">
        <v>503</v>
      </c>
      <c r="B15" s="20" t="s">
        <v>504</v>
      </c>
      <c r="C15" s="20" t="s">
        <v>505</v>
      </c>
      <c r="D15" s="20" t="s">
        <v>506</v>
      </c>
      <c r="E15" s="31" t="s">
        <v>507</v>
      </c>
    </row>
    <row r="16" customFormat="false" ht="15" hidden="false" customHeight="false" outlineLevel="0" collapsed="false">
      <c r="A16" s="20" t="s">
        <v>508</v>
      </c>
      <c r="B16" s="20" t="s">
        <v>509</v>
      </c>
      <c r="C16" s="20" t="s">
        <v>510</v>
      </c>
      <c r="D16" s="20" t="s">
        <v>501</v>
      </c>
      <c r="E16" s="31" t="s">
        <v>511</v>
      </c>
    </row>
    <row r="17" customFormat="false" ht="15" hidden="false" customHeight="false" outlineLevel="0" collapsed="false">
      <c r="A17" s="20" t="s">
        <v>197</v>
      </c>
      <c r="B17" s="20" t="s">
        <v>512</v>
      </c>
      <c r="C17" s="20" t="s">
        <v>513</v>
      </c>
      <c r="D17" s="20" t="s">
        <v>514</v>
      </c>
      <c r="E17" s="31" t="s">
        <v>515</v>
      </c>
    </row>
    <row r="18" customFormat="false" ht="15" hidden="false" customHeight="false" outlineLevel="0" collapsed="false">
      <c r="A18" s="20" t="s">
        <v>516</v>
      </c>
      <c r="B18" s="20" t="s">
        <v>517</v>
      </c>
      <c r="C18" s="20" t="s">
        <v>518</v>
      </c>
      <c r="D18" s="20" t="s">
        <v>501</v>
      </c>
      <c r="E18" s="31" t="s">
        <v>519</v>
      </c>
    </row>
  </sheetData>
  <hyperlinks>
    <hyperlink ref="E2" r:id="rId1" display="playbooks/PB-00-test-and-evidence.md"/>
    <hyperlink ref="E3" r:id="rId2" display="playbooks/PB-01-browsers-and-desktop-os.md"/>
    <hyperlink ref="E4" r:id="rId3" display="playbooks/PB-02-windows-and-dotnet.md"/>
    <hyperlink ref="E5" r:id="rId4" display="playbooks/PB-03-linux-and-unix-hosts.md"/>
    <hyperlink ref="E6" r:id="rId5" display="playbooks/PB-04-java.md"/>
    <hyperlink ref="E7" r:id="rId6" display="playbooks/PB-05-python.md"/>
    <hyperlink ref="E8" r:id="rId7" display="playbooks/PB-06-nodejs-and-electron.md"/>
    <hyperlink ref="E9" r:id="rId8" display="playbooks/PB-07-go-rust-php-ruby.md"/>
    <hyperlink ref="E10" r:id="rId9" display="playbooks/PB-08-containers-kubernetes-and-cicd.md"/>
    <hyperlink ref="E11" r:id="rId10" display="playbooks/PB-09-proxies-gateways-and-tls-inspection.md"/>
    <hyperlink ref="E12" r:id="rId11" display="playbooks/PB-10-mobile.md"/>
    <hyperlink ref="E13" r:id="rId12" display="playbooks/PB-11-vendor-products-appliances-and-suppliers.md"/>
    <hyperlink ref="E14" r:id="rId13" display="playbooks/PB-12-code-signing-and-application-control.md"/>
    <hyperlink ref="E15" r:id="rId14" display="playbooks/PB-13-our-certificates-and-availability.md"/>
    <hyperlink ref="E16" r:id="rId15" display="playbooks/PB-14-soc-threat-hunt.md"/>
    <hyperlink ref="E17" r:id="rId16" display="playbooks/PB-15-service-desk.md"/>
    <hyperlink ref="E18" r:id="rId17" display="playbooks/PB-16-identity-and-mtls.m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Y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46"/>
    <col collapsed="false" customWidth="true" hidden="false" outlineLevel="0" max="9" min="4" style="0" width="26"/>
    <col collapsed="false" customWidth="true" hidden="false" outlineLevel="0" max="10" min="10" style="0" width="46"/>
    <col collapsed="false" customWidth="true" hidden="false" outlineLevel="0" max="18" min="11" style="0" width="26"/>
    <col collapsed="false" customWidth="true" hidden="false" outlineLevel="0" max="20" min="20" style="0" width="22"/>
  </cols>
  <sheetData>
    <row r="1" customFormat="false" ht="15" hidden="false" customHeight="false" outlineLevel="0" collapsed="false">
      <c r="A1" s="32" t="s">
        <v>317</v>
      </c>
      <c r="B1" s="32" t="s">
        <v>318</v>
      </c>
      <c r="C1" s="32" t="s">
        <v>84</v>
      </c>
      <c r="D1" s="32" t="s">
        <v>520</v>
      </c>
      <c r="E1" s="32" t="s">
        <v>521</v>
      </c>
      <c r="F1" s="32" t="s">
        <v>522</v>
      </c>
      <c r="G1" s="32" t="s">
        <v>523</v>
      </c>
      <c r="H1" s="32" t="s">
        <v>524</v>
      </c>
      <c r="I1" s="32" t="s">
        <v>319</v>
      </c>
      <c r="J1" s="32" t="s">
        <v>525</v>
      </c>
      <c r="K1" s="32" t="s">
        <v>315</v>
      </c>
      <c r="L1" s="32" t="s">
        <v>526</v>
      </c>
      <c r="M1" s="32" t="s">
        <v>209</v>
      </c>
      <c r="N1" s="32" t="s">
        <v>527</v>
      </c>
      <c r="O1" s="32" t="s">
        <v>528</v>
      </c>
      <c r="P1" s="32" t="s">
        <v>529</v>
      </c>
      <c r="Q1" s="32" t="s">
        <v>339</v>
      </c>
      <c r="R1" s="32" t="s">
        <v>530</v>
      </c>
      <c r="T1" s="5" t="s">
        <v>531</v>
      </c>
    </row>
    <row r="2" customFormat="false" ht="15" hidden="false" customHeight="false" outlineLevel="0" collapsed="false">
      <c r="A2" s="8" t="s">
        <v>226</v>
      </c>
      <c r="B2" s="8" t="s">
        <v>242</v>
      </c>
      <c r="C2" s="8" t="s">
        <v>247</v>
      </c>
      <c r="D2" s="8" t="s">
        <v>242</v>
      </c>
      <c r="E2" s="8" t="s">
        <v>244</v>
      </c>
      <c r="F2" s="8" t="s">
        <v>532</v>
      </c>
      <c r="G2" s="8" t="s">
        <v>532</v>
      </c>
      <c r="H2" s="8" t="s">
        <v>270</v>
      </c>
      <c r="I2" s="8" t="s">
        <v>533</v>
      </c>
      <c r="J2" s="8" t="s">
        <v>534</v>
      </c>
      <c r="K2" s="8" t="s">
        <v>328</v>
      </c>
      <c r="L2" s="8" t="s">
        <v>97</v>
      </c>
      <c r="M2" s="8" t="s">
        <v>177</v>
      </c>
      <c r="N2" s="8" t="s">
        <v>97</v>
      </c>
      <c r="O2" s="8" t="s">
        <v>535</v>
      </c>
      <c r="P2" s="8" t="s">
        <v>536</v>
      </c>
      <c r="Q2" s="8" t="s">
        <v>348</v>
      </c>
      <c r="R2" s="8" t="s">
        <v>537</v>
      </c>
      <c r="T2" s="33" t="s">
        <v>538</v>
      </c>
      <c r="U2" s="33" t="s">
        <v>242</v>
      </c>
      <c r="V2" s="33" t="s">
        <v>232</v>
      </c>
      <c r="W2" s="33" t="s">
        <v>227</v>
      </c>
      <c r="X2" s="33" t="s">
        <v>331</v>
      </c>
      <c r="Y2" s="33" t="s">
        <v>539</v>
      </c>
    </row>
    <row r="3" customFormat="false" ht="15" hidden="false" customHeight="false" outlineLevel="0" collapsed="false">
      <c r="A3" s="8" t="s">
        <v>241</v>
      </c>
      <c r="B3" s="8" t="s">
        <v>232</v>
      </c>
      <c r="C3" s="8" t="s">
        <v>540</v>
      </c>
      <c r="D3" s="8" t="s">
        <v>232</v>
      </c>
      <c r="E3" s="8" t="s">
        <v>229</v>
      </c>
      <c r="F3" s="8" t="s">
        <v>236</v>
      </c>
      <c r="G3" s="8" t="s">
        <v>236</v>
      </c>
      <c r="H3" s="8" t="s">
        <v>541</v>
      </c>
      <c r="I3" s="8" t="s">
        <v>332</v>
      </c>
      <c r="J3" s="8" t="s">
        <v>542</v>
      </c>
      <c r="K3" s="8" t="s">
        <v>543</v>
      </c>
      <c r="L3" s="8" t="s">
        <v>544</v>
      </c>
      <c r="M3" s="8" t="s">
        <v>246</v>
      </c>
      <c r="N3" s="8" t="s">
        <v>273</v>
      </c>
      <c r="O3" s="8" t="s">
        <v>367</v>
      </c>
      <c r="P3" s="8" t="s">
        <v>347</v>
      </c>
      <c r="Q3" s="8" t="s">
        <v>545</v>
      </c>
      <c r="R3" s="8" t="s">
        <v>546</v>
      </c>
      <c r="T3" s="33" t="s">
        <v>226</v>
      </c>
      <c r="U3" s="34" t="s">
        <v>547</v>
      </c>
      <c r="V3" s="34" t="s">
        <v>501</v>
      </c>
      <c r="W3" s="34" t="s">
        <v>501</v>
      </c>
      <c r="X3" s="34" t="s">
        <v>501</v>
      </c>
      <c r="Y3" s="34" t="s">
        <v>548</v>
      </c>
    </row>
    <row r="4" customFormat="false" ht="15" hidden="false" customHeight="false" outlineLevel="0" collapsed="false">
      <c r="A4" s="8" t="s">
        <v>549</v>
      </c>
      <c r="B4" s="8" t="s">
        <v>227</v>
      </c>
      <c r="C4" s="8" t="s">
        <v>65</v>
      </c>
      <c r="D4" s="8" t="s">
        <v>227</v>
      </c>
      <c r="E4" s="8" t="s">
        <v>539</v>
      </c>
      <c r="G4" s="8" t="s">
        <v>271</v>
      </c>
      <c r="H4" s="8" t="s">
        <v>550</v>
      </c>
      <c r="I4" s="8" t="s">
        <v>551</v>
      </c>
      <c r="J4" s="8" t="s">
        <v>552</v>
      </c>
      <c r="K4" s="8" t="s">
        <v>553</v>
      </c>
      <c r="L4" s="8" t="s">
        <v>554</v>
      </c>
      <c r="M4" s="8" t="s">
        <v>456</v>
      </c>
      <c r="N4" s="8" t="s">
        <v>555</v>
      </c>
      <c r="O4" s="8" t="s">
        <v>556</v>
      </c>
      <c r="R4" s="8" t="s">
        <v>352</v>
      </c>
      <c r="T4" s="33" t="s">
        <v>241</v>
      </c>
      <c r="U4" s="34" t="s">
        <v>74</v>
      </c>
      <c r="V4" s="34" t="s">
        <v>557</v>
      </c>
      <c r="W4" s="34" t="s">
        <v>557</v>
      </c>
      <c r="X4" s="34" t="s">
        <v>557</v>
      </c>
      <c r="Y4" s="34" t="s">
        <v>558</v>
      </c>
    </row>
    <row r="5" customFormat="false" ht="15" hidden="false" customHeight="false" outlineLevel="0" collapsed="false">
      <c r="B5" s="8" t="s">
        <v>331</v>
      </c>
      <c r="C5" s="8" t="s">
        <v>559</v>
      </c>
      <c r="D5" s="8" t="s">
        <v>560</v>
      </c>
      <c r="H5" s="8" t="s">
        <v>561</v>
      </c>
      <c r="I5" s="8" t="s">
        <v>562</v>
      </c>
      <c r="J5" s="8" t="s">
        <v>563</v>
      </c>
      <c r="K5" s="8" t="s">
        <v>564</v>
      </c>
      <c r="L5" s="8" t="s">
        <v>565</v>
      </c>
      <c r="M5" s="8" t="s">
        <v>461</v>
      </c>
      <c r="N5" s="8" t="s">
        <v>566</v>
      </c>
      <c r="O5" s="8" t="s">
        <v>567</v>
      </c>
      <c r="T5" s="33" t="s">
        <v>549</v>
      </c>
      <c r="U5" s="34" t="s">
        <v>74</v>
      </c>
      <c r="V5" s="34" t="s">
        <v>547</v>
      </c>
      <c r="W5" s="34" t="s">
        <v>547</v>
      </c>
      <c r="X5" s="34" t="s">
        <v>547</v>
      </c>
      <c r="Y5" s="34" t="s">
        <v>568</v>
      </c>
    </row>
    <row r="6" customFormat="false" ht="15" hidden="false" customHeight="false" outlineLevel="0" collapsed="false">
      <c r="B6" s="8" t="s">
        <v>539</v>
      </c>
      <c r="C6" s="8" t="s">
        <v>569</v>
      </c>
      <c r="H6" s="8" t="s">
        <v>271</v>
      </c>
      <c r="I6" s="8" t="s">
        <v>570</v>
      </c>
      <c r="J6" s="8" t="s">
        <v>571</v>
      </c>
      <c r="K6" s="8" t="s">
        <v>572</v>
      </c>
      <c r="M6" s="8" t="s">
        <v>231</v>
      </c>
      <c r="O6" s="8" t="s">
        <v>573</v>
      </c>
    </row>
    <row r="7" customFormat="false" ht="15" hidden="false" customHeight="false" outlineLevel="0" collapsed="false">
      <c r="C7" s="8" t="s">
        <v>574</v>
      </c>
      <c r="J7" s="8" t="s">
        <v>575</v>
      </c>
      <c r="K7" s="8" t="s">
        <v>576</v>
      </c>
      <c r="M7" s="8" t="s">
        <v>469</v>
      </c>
    </row>
    <row r="8" customFormat="false" ht="15" hidden="false" customHeight="false" outlineLevel="0" collapsed="false">
      <c r="C8" s="8" t="s">
        <v>577</v>
      </c>
      <c r="J8" s="8" t="s">
        <v>578</v>
      </c>
      <c r="K8" s="8" t="s">
        <v>368</v>
      </c>
      <c r="M8" s="8" t="s">
        <v>473</v>
      </c>
      <c r="T8" s="5" t="s">
        <v>579</v>
      </c>
    </row>
    <row r="9" customFormat="false" ht="15" hidden="false" customHeight="false" outlineLevel="0" collapsed="false">
      <c r="J9" s="8" t="s">
        <v>327</v>
      </c>
      <c r="K9" s="8" t="s">
        <v>580</v>
      </c>
      <c r="M9" s="8" t="s">
        <v>477</v>
      </c>
      <c r="T9" s="35" t="s">
        <v>242</v>
      </c>
      <c r="U9" s="8" t="s">
        <v>581</v>
      </c>
    </row>
    <row r="10" customFormat="false" ht="15" hidden="false" customHeight="false" outlineLevel="0" collapsed="false">
      <c r="J10" s="8" t="s">
        <v>582</v>
      </c>
      <c r="M10" s="8" t="s">
        <v>480</v>
      </c>
      <c r="T10" s="35" t="s">
        <v>232</v>
      </c>
      <c r="U10" s="8" t="s">
        <v>583</v>
      </c>
    </row>
    <row r="11" customFormat="false" ht="15" hidden="false" customHeight="false" outlineLevel="0" collapsed="false">
      <c r="J11" s="8" t="s">
        <v>584</v>
      </c>
      <c r="M11" s="8" t="s">
        <v>139</v>
      </c>
      <c r="T11" s="35" t="s">
        <v>227</v>
      </c>
      <c r="U11" s="8" t="s">
        <v>585</v>
      </c>
    </row>
    <row r="12" customFormat="false" ht="15" hidden="false" customHeight="false" outlineLevel="0" collapsed="false">
      <c r="J12" s="8" t="s">
        <v>586</v>
      </c>
      <c r="M12" s="8" t="s">
        <v>190</v>
      </c>
      <c r="T12" s="35" t="s">
        <v>331</v>
      </c>
      <c r="U12" s="8" t="s">
        <v>587</v>
      </c>
    </row>
    <row r="13" customFormat="false" ht="15" hidden="false" customHeight="false" outlineLevel="0" collapsed="false">
      <c r="M13" s="8" t="s">
        <v>493</v>
      </c>
      <c r="T13" s="35" t="s">
        <v>539</v>
      </c>
      <c r="U13" s="8" t="s">
        <v>588</v>
      </c>
    </row>
    <row r="14" customFormat="false" ht="15" hidden="false" customHeight="false" outlineLevel="0" collapsed="false">
      <c r="M14" s="8" t="s">
        <v>498</v>
      </c>
    </row>
    <row r="15" customFormat="false" ht="15" hidden="false" customHeight="false" outlineLevel="0" collapsed="false">
      <c r="M15" s="8" t="s">
        <v>503</v>
      </c>
    </row>
    <row r="16" customFormat="false" ht="15" hidden="false" customHeight="false" outlineLevel="0" collapsed="false">
      <c r="M16" s="8" t="s">
        <v>508</v>
      </c>
      <c r="T16" s="5" t="s">
        <v>589</v>
      </c>
      <c r="U16" s="36" t="n">
        <v>0.95</v>
      </c>
      <c r="V16" s="2" t="s">
        <v>590</v>
      </c>
    </row>
    <row r="17" customFormat="false" ht="15" hidden="false" customHeight="false" outlineLevel="0" collapsed="false">
      <c r="M17" s="8" t="s">
        <v>197</v>
      </c>
    </row>
    <row r="18" customFormat="false" ht="15" hidden="false" customHeight="false" outlineLevel="0" collapsed="false">
      <c r="M18" s="8" t="s">
        <v>516</v>
      </c>
      <c r="T18" s="5" t="s">
        <v>591</v>
      </c>
      <c r="U18" s="37" t="n">
        <v>45777</v>
      </c>
      <c r="V18" s="2" t="s">
        <v>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2026-10-26T02:33:59Z</dcterms:created>
  <dc:creator>Group Security Architecture (draft prepared by Claude)</dc:creator>
  <dc:description/>
  <dc:language>en-US</dc:language>
  <cp:lastModifiedBy/>
  <dcterms:modified xsi:type="dcterms:W3CDTF">2026-10-26T02:33:59Z</dcterms:modified>
  <cp:revision>0</cp:revision>
  <dc:subject/>
  <dc:title>eMudhra response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